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<sst xmlns="http://schemas.openxmlformats.org/spreadsheetml/2006/main" count="467" uniqueCount="117">
  <si>
    <t>РАЗМЕЩЕНИЙ НА ПЛОЩАДКАХ ЧЕРЕЗ RSPACE ЗА ВЕСЬ ПЕРИОД</t>
  </si>
  <si>
    <t>СЕБЕСТОИМОСТЬ РАЗМЕЩЕНИЯ (Москва)</t>
  </si>
  <si>
    <t>Площадка</t>
  </si>
  <si>
    <t>Количество размещений</t>
  </si>
  <si>
    <t>Процент</t>
  </si>
  <si>
    <t>Себестоимость</t>
  </si>
  <si>
    <t>Циан</t>
  </si>
  <si>
    <t>Авито</t>
  </si>
  <si>
    <t xml:space="preserve">ИТОГО </t>
  </si>
  <si>
    <t>Домклик</t>
  </si>
  <si>
    <t>Яндекс</t>
  </si>
  <si>
    <t>ИТОГО (1 объявление)</t>
  </si>
  <si>
    <t>ТАБЛИЦА № 2</t>
  </si>
  <si>
    <t xml:space="preserve">АПСЕЙЛЫ </t>
  </si>
  <si>
    <t>СТОЛИЦЫ</t>
  </si>
  <si>
    <t>Наша прибыль с апсейлов при наличии подписки у пользователя</t>
  </si>
  <si>
    <t>РЕГИОНЫ</t>
  </si>
  <si>
    <t>НОВОЕ НАПОЛНЕНИЕ ПОДПИСОК</t>
  </si>
  <si>
    <t>Без учета бонусов</t>
  </si>
  <si>
    <r>
      <rPr>
        <rFont val="Calibri"/>
        <b/>
        <color theme="1"/>
        <sz val="11.0"/>
      </rPr>
      <t xml:space="preserve">С учетом бонусов </t>
    </r>
    <r>
      <rPr>
        <rFont val="Calibri"/>
        <color theme="1"/>
        <sz val="11.0"/>
      </rPr>
      <t>на классифайдах</t>
    </r>
  </si>
  <si>
    <t>цена для клиента</t>
  </si>
  <si>
    <t>Trial</t>
  </si>
  <si>
    <t>Профи</t>
  </si>
  <si>
    <t>Премиум</t>
  </si>
  <si>
    <t>Ультима</t>
  </si>
  <si>
    <t>Энтерпрайс</t>
  </si>
  <si>
    <t>Услуга</t>
  </si>
  <si>
    <t>Цена без подписки или Trial</t>
  </si>
  <si>
    <t>Профи (регионы)</t>
  </si>
  <si>
    <t>Премиум (регионы)</t>
  </si>
  <si>
    <t>Ультима (регионы)</t>
  </si>
  <si>
    <t>Ентерпрайс (регионы)</t>
  </si>
  <si>
    <t>Объектов в рекламу</t>
  </si>
  <si>
    <t>3шт</t>
  </si>
  <si>
    <t>5шт</t>
  </si>
  <si>
    <t>10шт</t>
  </si>
  <si>
    <t>15шт</t>
  </si>
  <si>
    <t>Цена со скидкой 20%</t>
  </si>
  <si>
    <t>Чистая прибыль</t>
  </si>
  <si>
    <t>Цена со скидкой 25%</t>
  </si>
  <si>
    <t>Цена со скидкой 30%</t>
  </si>
  <si>
    <t>Ипотечный брокер</t>
  </si>
  <si>
    <t>1шт</t>
  </si>
  <si>
    <t>2шт</t>
  </si>
  <si>
    <t>для покупателя</t>
  </si>
  <si>
    <t>Подготовка ДКП</t>
  </si>
  <si>
    <t>-</t>
  </si>
  <si>
    <t>Заявка на ипотеку</t>
  </si>
  <si>
    <t>неогр.</t>
  </si>
  <si>
    <t>Страховой брокер</t>
  </si>
  <si>
    <t>Шаблоны договоров</t>
  </si>
  <si>
    <t>да</t>
  </si>
  <si>
    <t>AI-юрист Грут</t>
  </si>
  <si>
    <t>нет</t>
  </si>
  <si>
    <t>Купить новостройку</t>
  </si>
  <si>
    <t>Юрист на сделку</t>
  </si>
  <si>
    <t>скидка 20%</t>
  </si>
  <si>
    <t>скидка 25%</t>
  </si>
  <si>
    <t>скидка 30%</t>
  </si>
  <si>
    <t>Юрист на сделку (срочный)</t>
  </si>
  <si>
    <t>Сопровождение покупателя</t>
  </si>
  <si>
    <t>Сопровождение покупателя (срочный)</t>
  </si>
  <si>
    <t>Сопровождение продавца</t>
  </si>
  <si>
    <t>Сопровождение продавца (срочный)</t>
  </si>
  <si>
    <t xml:space="preserve">Проверка собственника      </t>
  </si>
  <si>
    <t xml:space="preserve">Подготовка  ДКП	</t>
  </si>
  <si>
    <t>Подготовка ДКП (срочный)</t>
  </si>
  <si>
    <t>Проверка задатка</t>
  </si>
  <si>
    <t>Проверка задатка (срочный)</t>
  </si>
  <si>
    <t>Проверка аванса</t>
  </si>
  <si>
    <t>Проверка аванса (срочный)</t>
  </si>
  <si>
    <t>Проверка объекта</t>
  </si>
  <si>
    <t>Проверка объекта (срочный)</t>
  </si>
  <si>
    <t>Проверка собственника</t>
  </si>
  <si>
    <t>Проверка собственника (срочный)</t>
  </si>
  <si>
    <t>2D/3D планировка</t>
  </si>
  <si>
    <t>Продвижение на Авито</t>
  </si>
  <si>
    <t>Продвижение на Циан</t>
  </si>
  <si>
    <t>Показатель</t>
  </si>
  <si>
    <t>Цена подписки</t>
  </si>
  <si>
    <t>Service Fee %</t>
  </si>
  <si>
    <t xml:space="preserve">Себестоимость </t>
  </si>
  <si>
    <t>Валовая прибыль</t>
  </si>
  <si>
    <t>Маржинальность %</t>
  </si>
  <si>
    <t>Регионы</t>
  </si>
  <si>
    <t>Столицы</t>
  </si>
  <si>
    <t>Без подписки</t>
  </si>
  <si>
    <t>Ентерпрайз</t>
  </si>
  <si>
    <t>Размер скидки</t>
  </si>
  <si>
    <t>Полное сопровождение сделки юристом/с переговорами</t>
  </si>
  <si>
    <t>Цена продажи Столицы</t>
  </si>
  <si>
    <t>Цена Регионы</t>
  </si>
  <si>
    <t>Полное сопровождение сделки
юристом/с переговорами (срочный)</t>
  </si>
  <si>
    <t>357.14</t>
  </si>
  <si>
    <t>Проверка покупателя</t>
  </si>
  <si>
    <t>Проверка объекта на сделку</t>
  </si>
  <si>
    <t>714.29</t>
  </si>
  <si>
    <t>178.57</t>
  </si>
  <si>
    <t>1785.71</t>
  </si>
  <si>
    <t>Проверка продавца</t>
  </si>
  <si>
    <t>ДКП Срочное</t>
  </si>
  <si>
    <t>Проверка продавца (срочный)</t>
  </si>
  <si>
    <t>Проверка покупателя (срочный)</t>
  </si>
  <si>
    <t>Подача заявки на ипотеку
в любой банк</t>
  </si>
  <si>
    <t>Проверка ДКП/Задатка/Аванса</t>
  </si>
  <si>
    <t>Онлайн страховой брокер</t>
  </si>
  <si>
    <t>Проверка ДКП/Задатка/Аванса (срочный)</t>
  </si>
  <si>
    <t>Пролонгация страхования</t>
  </si>
  <si>
    <t>AI-юрист</t>
  </si>
  <si>
    <t>7 руб/запрос</t>
  </si>
  <si>
    <t>AI-генерация объявлений</t>
  </si>
  <si>
    <t>1,17 руб/запрос</t>
  </si>
  <si>
    <t>для 3000 символов и курсе 90</t>
  </si>
  <si>
    <t>Безопасная сделка
(сертификат безопасной сделки)</t>
  </si>
  <si>
    <t>Электронная регистрация сделки</t>
  </si>
  <si>
    <t>Чат профи в твоем городе</t>
  </si>
  <si>
    <t>Смс подписание договоров на услуги с клиентом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</si>
</sst>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р.-419]#,##0.00"/>
    <numFmt numFmtId="165" formatCode="[$р.-419]#,##0"/>
    <numFmt numFmtId="166" formatCode="#,##0[$ ₽]"/>
  </numFmts>
  <fonts count="18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12.0"/>
      <color theme="1"/>
      <name val="Cambria"/>
    </font>
    <font>
      <b/>
      <sz val="11.0"/>
      <color theme="1"/>
      <name val="Cambria"/>
    </font>
    <font>
      <b/>
      <sz val="11.0"/>
      <color theme="1"/>
      <name val="Calibri"/>
    </font>
    <font>
      <b/>
      <sz val="12.0"/>
      <color theme="1"/>
      <name val="Arial"/>
      <scheme val="minor"/>
    </font>
    <font>
      <sz val="11.0"/>
      <color rgb="FF0000FF"/>
      <name val="Calibri"/>
    </font>
    <font>
      <b/>
      <sz val="11.0"/>
      <color theme="1"/>
      <name val="Arial"/>
      <scheme val="minor"/>
    </font>
    <font>
      <b/>
      <sz val="13.0"/>
      <color theme="1"/>
      <name val="Cambria"/>
    </font>
    <font/>
    <font>
      <sz val="11.0"/>
      <color rgb="FF000000"/>
      <name val="Cambria"/>
    </font>
    <font>
      <b/>
      <color theme="1"/>
      <name val="Arial"/>
    </font>
    <font>
      <sz val="11.0"/>
      <color theme="1"/>
      <name val="Cambria"/>
    </font>
    <font>
      <sz val="11.0"/>
      <color rgb="FF0000FF"/>
      <name val="Cambria"/>
    </font>
    <font>
      <sz val="11.0"/>
      <color rgb="FF000000"/>
      <name val="Calibri"/>
    </font>
    <font>
      <sz val="11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AEEF3"/>
        <bgColor rgb="FFDAEE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A4C2F4"/>
        <bgColor rgb="FFA4C2F4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8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top/>
      <bottom/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38761D"/>
      </left>
      <top style="thick">
        <color rgb="FF38761D"/>
      </top>
    </border>
    <border>
      <left style="thick">
        <color rgb="FF38761D"/>
      </left>
      <right style="thick">
        <color rgb="FFB6D7A8"/>
      </right>
      <top style="thick">
        <color rgb="FF38761D"/>
      </top>
    </border>
    <border>
      <top style="thick">
        <color rgb="FF38761D"/>
      </top>
    </border>
    <border>
      <right style="thick">
        <color rgb="FF38761D"/>
      </right>
      <top style="thick">
        <color rgb="FF38761D"/>
      </top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38761D"/>
      </left>
    </border>
    <border>
      <left style="thick">
        <color rgb="FF38761D"/>
      </left>
      <right style="thick">
        <color rgb="FFB6D7A8"/>
      </right>
    </border>
    <border>
      <right style="thick">
        <color rgb="FF38761D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D0E0E3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C9DAF8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/>
      <top/>
    </border>
    <border>
      <right style="thick">
        <color rgb="FFD0E0E3"/>
      </right>
      <top/>
    </border>
    <border>
      <right/>
      <top/>
    </border>
    <border>
      <left/>
      <right/>
      <top/>
    </border>
    <border>
      <left/>
      <top/>
    </border>
    <border>
      <left style="thick">
        <color rgb="FFD0E0E3"/>
      </left>
    </border>
    <border>
      <top/>
    </border>
    <border>
      <left style="thick">
        <color rgb="FFC9DAF8"/>
      </left>
      <top/>
    </border>
    <border>
      <right style="thick">
        <color rgb="FF000000"/>
      </right>
      <top/>
    </border>
    <border>
      <left/>
      <right style="thick">
        <color rgb="FFD0E0E3"/>
      </right>
      <top/>
    </border>
    <border>
      <right style="thick">
        <color rgb="FFC9DAF8"/>
      </right>
      <top/>
    </border>
    <border>
      <right style="thick">
        <color rgb="FFB6D7A8"/>
      </right>
      <top/>
    </border>
    <border>
      <left/>
      <right style="thick">
        <color rgb="FFB6D7A8"/>
      </right>
      <top/>
    </border>
    <border>
      <left style="thick">
        <color rgb="FFB6D7A8"/>
      </left>
    </border>
    <border>
      <left style="thick">
        <color rgb="FF000000"/>
      </left>
    </border>
    <border>
      <right style="thick">
        <color rgb="FFD0E0E3"/>
      </right>
    </border>
    <border>
      <left style="thick">
        <color rgb="FFC9DAF8"/>
      </left>
    </border>
    <border>
      <right style="thick">
        <color rgb="FF000000"/>
      </right>
    </border>
    <border>
      <right style="thick">
        <color rgb="FFC9DAF8"/>
      </right>
    </border>
    <border>
      <right style="thick">
        <color rgb="FFB6D7A8"/>
      </right>
    </border>
    <border>
      <left style="thick">
        <color rgb="FFD9EAD3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left style="thick">
        <color rgb="FFD9EAD3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C9DAF8"/>
      </right>
      <bottom style="thick">
        <color rgb="FF000000"/>
      </bottom>
    </border>
    <border>
      <left style="thick">
        <color rgb="FF38761D"/>
      </left>
      <bottom style="thick">
        <color rgb="FF38761D"/>
      </bottom>
    </border>
    <border>
      <left style="thick">
        <color rgb="FF38761D"/>
      </left>
      <right style="thick">
        <color rgb="FFB6D7A8"/>
      </right>
      <bottom style="thick">
        <color rgb="FF38761D"/>
      </bottom>
    </border>
    <border>
      <bottom style="thick">
        <color rgb="FF38761D"/>
      </bottom>
    </border>
    <border>
      <right style="thick">
        <color rgb="FFB6D7A8"/>
      </right>
      <bottom style="thick">
        <color rgb="FF38761D"/>
      </bottom>
    </border>
    <border>
      <left style="thick">
        <color rgb="FFB6D7A8"/>
      </left>
      <bottom style="thick">
        <color rgb="FF38761D"/>
      </bottom>
    </border>
    <border>
      <right style="thick">
        <color rgb="FF38761D"/>
      </right>
      <bottom style="thick">
        <color rgb="FF38761D"/>
      </bottom>
    </border>
    <border>
      <left style="thick">
        <color rgb="FFFF0000"/>
      </left>
      <top/>
      <bottom/>
    </border>
    <border>
      <right/>
      <bottom/>
    </border>
    <border>
      <left/>
      <right/>
      <bottom/>
    </border>
    <border>
      <left/>
      <bottom/>
    </border>
    <border>
      <bottom/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6D7A8"/>
      </left>
      <right/>
      <top style="thick">
        <color rgb="FFB6D7A8"/>
      </top>
      <bottom/>
    </border>
    <border>
      <left/>
      <right/>
      <top style="thick">
        <color rgb="FFB6D7A8"/>
      </top>
      <bottom/>
    </border>
    <border>
      <right style="thick">
        <color rgb="FFB6D7A8"/>
      </right>
      <top style="thick">
        <color rgb="FFB6D7A8"/>
      </top>
    </border>
    <border>
      <left style="thick">
        <color rgb="FFB6D7A8"/>
      </left>
      <bottom style="thick">
        <color rgb="FFB6D7A8"/>
      </bottom>
    </border>
    <border>
      <bottom style="thick">
        <color rgb="FFB6D7A8"/>
      </bottom>
    </border>
    <border>
      <right style="thick">
        <color rgb="FFB6D7A8"/>
      </right>
      <bottom style="thick">
        <color rgb="FFB6D7A8"/>
      </bottom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vertical="bottom"/>
    </xf>
    <xf borderId="3" fillId="2" fontId="2" numFmtId="0" xfId="0" applyBorder="1" applyFont="1"/>
    <xf borderId="0" fillId="0" fontId="4" numFmtId="0" xfId="0" applyAlignment="1" applyFont="1">
      <alignment vertical="bottom"/>
    </xf>
    <xf borderId="0" fillId="0" fontId="1" numFmtId="3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4" fillId="3" fontId="5" numFmtId="0" xfId="0" applyAlignment="1" applyBorder="1" applyFill="1" applyFont="1">
      <alignment vertical="bottom"/>
    </xf>
    <xf borderId="5" fillId="3" fontId="5" numFmtId="0" xfId="0" applyAlignment="1" applyBorder="1" applyFont="1">
      <alignment readingOrder="0" vertical="bottom"/>
    </xf>
    <xf borderId="6" fillId="3" fontId="5" numFmtId="0" xfId="0" applyAlignment="1" applyBorder="1" applyFont="1">
      <alignment readingOrder="0"/>
    </xf>
    <xf borderId="7" fillId="3" fontId="5" numFmtId="0" xfId="0" applyAlignment="1" applyBorder="1" applyFont="1">
      <alignment vertical="bottom"/>
    </xf>
    <xf borderId="0" fillId="0" fontId="1" numFmtId="164" xfId="0" applyAlignment="1" applyFont="1" applyNumberFormat="1">
      <alignment readingOrder="0" vertical="bottom"/>
    </xf>
    <xf borderId="8" fillId="0" fontId="1" numFmtId="0" xfId="0" applyAlignment="1" applyBorder="1" applyFont="1">
      <alignment vertical="bottom"/>
    </xf>
    <xf borderId="0" fillId="0" fontId="1" numFmtId="1" xfId="0" applyAlignment="1" applyFont="1" applyNumberFormat="1">
      <alignment horizontal="right" readingOrder="0" vertical="bottom"/>
    </xf>
    <xf borderId="6" fillId="0" fontId="2" numFmtId="9" xfId="0" applyAlignment="1" applyBorder="1" applyFont="1" applyNumberFormat="1">
      <alignment readingOrder="0"/>
    </xf>
    <xf borderId="0" fillId="0" fontId="1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vertical="bottom"/>
    </xf>
    <xf borderId="8" fillId="0" fontId="1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9" fillId="0" fontId="5" numFmtId="0" xfId="0" applyAlignment="1" applyBorder="1" applyFont="1">
      <alignment readingOrder="0" vertical="bottom"/>
    </xf>
    <xf borderId="10" fillId="0" fontId="6" numFmtId="1" xfId="0" applyAlignment="1" applyBorder="1" applyFont="1" applyNumberFormat="1">
      <alignment horizontal="right" readingOrder="0" vertical="bottom"/>
    </xf>
    <xf borderId="11" fillId="0" fontId="2" numFmtId="9" xfId="0" applyAlignment="1" applyBorder="1" applyFont="1" applyNumberFormat="1">
      <alignment readingOrder="0"/>
    </xf>
    <xf borderId="0" fillId="0" fontId="1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readingOrder="0" vertical="bottom"/>
    </xf>
    <xf borderId="0" fillId="4" fontId="7" numFmtId="0" xfId="0" applyAlignment="1" applyFill="1" applyFont="1">
      <alignment readingOrder="0"/>
    </xf>
    <xf borderId="12" fillId="0" fontId="1" numFmtId="0" xfId="0" applyAlignment="1" applyBorder="1" applyFont="1">
      <alignment vertical="bottom"/>
    </xf>
    <xf borderId="13" fillId="0" fontId="1" numFmtId="0" xfId="0" applyAlignment="1" applyBorder="1" applyFont="1">
      <alignment vertical="bottom"/>
    </xf>
    <xf borderId="14" fillId="0" fontId="1" numFmtId="0" xfId="0" applyAlignment="1" applyBorder="1" applyFont="1">
      <alignment vertical="bottom"/>
    </xf>
    <xf borderId="0" fillId="0" fontId="8" numFmtId="165" xfId="0" applyAlignment="1" applyFont="1" applyNumberFormat="1">
      <alignment horizontal="right" readingOrder="0" vertical="bottom"/>
    </xf>
    <xf borderId="15" fillId="0" fontId="9" numFmtId="0" xfId="0" applyAlignment="1" applyBorder="1" applyFont="1">
      <alignment readingOrder="0"/>
    </xf>
    <xf borderId="16" fillId="5" fontId="9" numFmtId="0" xfId="0" applyAlignment="1" applyBorder="1" applyFill="1" applyFont="1">
      <alignment readingOrder="0"/>
    </xf>
    <xf borderId="17" fillId="0" fontId="9" numFmtId="0" xfId="0" applyAlignment="1" applyBorder="1" applyFont="1">
      <alignment readingOrder="0"/>
    </xf>
    <xf borderId="17" fillId="0" fontId="2" numFmtId="0" xfId="0" applyBorder="1" applyFont="1"/>
    <xf borderId="18" fillId="0" fontId="2" numFmtId="0" xfId="0" applyBorder="1" applyFont="1"/>
    <xf borderId="19" fillId="0" fontId="3" numFmtId="0" xfId="0" applyAlignment="1" applyBorder="1" applyFont="1">
      <alignment vertical="bottom"/>
    </xf>
    <xf borderId="0" fillId="6" fontId="10" numFmtId="0" xfId="0" applyAlignment="1" applyFill="1" applyFont="1">
      <alignment readingOrder="0" vertical="bottom"/>
    </xf>
    <xf borderId="0" fillId="6" fontId="3" numFmtId="0" xfId="0" applyAlignment="1" applyFont="1">
      <alignment vertical="bottom"/>
    </xf>
    <xf borderId="20" fillId="0" fontId="1" numFmtId="0" xfId="0" applyAlignment="1" applyBorder="1" applyFont="1">
      <alignment vertical="bottom"/>
    </xf>
    <xf borderId="0" fillId="0" fontId="8" numFmtId="9" xfId="0" applyAlignment="1" applyFont="1" applyNumberFormat="1">
      <alignment horizontal="right" vertical="bottom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9" fillId="0" fontId="3" numFmtId="164" xfId="0" applyAlignment="1" applyBorder="1" applyFont="1" applyNumberFormat="1">
      <alignment vertical="bottom"/>
    </xf>
    <xf borderId="24" fillId="0" fontId="1" numFmtId="0" xfId="0" applyAlignment="1" applyBorder="1" applyFont="1">
      <alignment horizontal="center" readingOrder="0" vertical="bottom"/>
    </xf>
    <xf borderId="25" fillId="0" fontId="11" numFmtId="0" xfId="0" applyBorder="1" applyFont="1"/>
    <xf borderId="26" fillId="0" fontId="11" numFmtId="0" xfId="0" applyBorder="1" applyFont="1"/>
    <xf borderId="25" fillId="0" fontId="1" numFmtId="0" xfId="0" applyAlignment="1" applyBorder="1" applyFont="1">
      <alignment horizontal="center" vertical="bottom"/>
    </xf>
    <xf borderId="27" fillId="0" fontId="1" numFmtId="0" xfId="0" applyAlignment="1" applyBorder="1" applyFont="1">
      <alignment horizontal="center" readingOrder="0" vertical="bottom"/>
    </xf>
    <xf borderId="25" fillId="0" fontId="1" numFmtId="0" xfId="0" applyAlignment="1" applyBorder="1" applyFont="1">
      <alignment horizontal="center" readingOrder="0" vertical="bottom"/>
    </xf>
    <xf borderId="28" fillId="0" fontId="11" numFmtId="0" xfId="0" applyBorder="1" applyFont="1"/>
    <xf borderId="25" fillId="0" fontId="1" numFmtId="0" xfId="0" applyAlignment="1" applyBorder="1" applyFont="1">
      <alignment vertical="bottom"/>
    </xf>
    <xf borderId="29" fillId="0" fontId="1" numFmtId="0" xfId="0" applyAlignment="1" applyBorder="1" applyFont="1">
      <alignment vertical="bottom"/>
    </xf>
    <xf borderId="22" fillId="0" fontId="2" numFmtId="0" xfId="0" applyAlignment="1" applyBorder="1" applyFont="1">
      <alignment readingOrder="0"/>
    </xf>
    <xf borderId="30" fillId="3" fontId="5" numFmtId="0" xfId="0" applyAlignment="1" applyBorder="1" applyFont="1">
      <alignment vertical="bottom"/>
    </xf>
    <xf borderId="31" fillId="3" fontId="5" numFmtId="0" xfId="0" applyAlignment="1" applyBorder="1" applyFont="1">
      <alignment vertical="bottom"/>
    </xf>
    <xf borderId="32" fillId="3" fontId="5" numFmtId="0" xfId="0" applyAlignment="1" applyBorder="1" applyFont="1">
      <alignment vertical="bottom"/>
    </xf>
    <xf borderId="33" fillId="3" fontId="5" numFmtId="0" xfId="0" applyAlignment="1" applyBorder="1" applyFont="1">
      <alignment vertical="bottom"/>
    </xf>
    <xf borderId="34" fillId="3" fontId="5" numFmtId="0" xfId="0" applyAlignment="1" applyBorder="1" applyFont="1">
      <alignment vertical="bottom"/>
    </xf>
    <xf borderId="35" fillId="3" fontId="5" numFmtId="0" xfId="0" applyAlignment="1" applyBorder="1" applyFont="1">
      <alignment vertical="bottom"/>
    </xf>
    <xf borderId="36" fillId="3" fontId="5" numFmtId="0" xfId="0" applyAlignment="1" applyBorder="1" applyFont="1">
      <alignment vertical="bottom"/>
    </xf>
    <xf borderId="37" fillId="3" fontId="5" numFmtId="0" xfId="0" applyAlignment="1" applyBorder="1" applyFont="1">
      <alignment readingOrder="0" vertical="bottom"/>
    </xf>
    <xf borderId="38" fillId="3" fontId="5" numFmtId="0" xfId="0" applyAlignment="1" applyBorder="1" applyFont="1">
      <alignment vertical="bottom"/>
    </xf>
    <xf borderId="39" fillId="3" fontId="5" numFmtId="0" xfId="0" applyAlignment="1" applyBorder="1" applyFont="1">
      <alignment vertical="bottom"/>
    </xf>
    <xf borderId="40" fillId="3" fontId="5" numFmtId="0" xfId="0" applyAlignment="1" applyBorder="1" applyFont="1">
      <alignment vertical="bottom"/>
    </xf>
    <xf borderId="20" fillId="0" fontId="2" numFmtId="0" xfId="0" applyBorder="1" applyFont="1"/>
    <xf borderId="21" fillId="3" fontId="5" numFmtId="0" xfId="0" applyAlignment="1" applyBorder="1" applyFont="1">
      <alignment readingOrder="0" vertical="bottom"/>
    </xf>
    <xf borderId="22" fillId="3" fontId="5" numFmtId="0" xfId="0" applyAlignment="1" applyBorder="1" applyFont="1">
      <alignment readingOrder="0" vertical="bottom"/>
    </xf>
    <xf borderId="41" fillId="3" fontId="5" numFmtId="0" xfId="0" applyAlignment="1" applyBorder="1" applyFont="1">
      <alignment vertical="bottom"/>
    </xf>
    <xf borderId="42" fillId="3" fontId="5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43" fillId="3" fontId="5" numFmtId="0" xfId="0" applyAlignment="1" applyBorder="1" applyFont="1">
      <alignment readingOrder="0" vertical="bottom"/>
    </xf>
    <xf borderId="0" fillId="3" fontId="5" numFmtId="0" xfId="0" applyAlignment="1" applyFont="1">
      <alignment readingOrder="0" vertical="bottom"/>
    </xf>
    <xf borderId="32" fillId="3" fontId="5" numFmtId="0" xfId="0" applyAlignment="1" applyBorder="1" applyFont="1">
      <alignment readingOrder="0" vertical="bottom"/>
    </xf>
    <xf borderId="23" fillId="3" fontId="5" numFmtId="0" xfId="0" applyAlignment="1" applyBorder="1" applyFont="1">
      <alignment vertical="bottom"/>
    </xf>
    <xf borderId="19" fillId="0" fontId="1" numFmtId="16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44" fillId="0" fontId="1" numFmtId="164" xfId="0" applyAlignment="1" applyBorder="1" applyFont="1" applyNumberFormat="1">
      <alignment horizontal="right" vertical="bottom"/>
    </xf>
    <xf borderId="45" fillId="0" fontId="1" numFmtId="164" xfId="0" applyAlignment="1" applyBorder="1" applyFont="1" applyNumberFormat="1">
      <alignment horizontal="right" readingOrder="0" vertical="bottom"/>
    </xf>
    <xf borderId="35" fillId="0" fontId="1" numFmtId="164" xfId="0" applyAlignment="1" applyBorder="1" applyFont="1" applyNumberFormat="1">
      <alignment horizontal="right" vertical="bottom"/>
    </xf>
    <xf borderId="46" fillId="0" fontId="1" numFmtId="164" xfId="0" applyAlignment="1" applyBorder="1" applyFont="1" applyNumberFormat="1">
      <alignment horizontal="right" vertical="bottom"/>
    </xf>
    <xf borderId="47" fillId="0" fontId="1" numFmtId="164" xfId="0" applyAlignment="1" applyBorder="1" applyFont="1" applyNumberFormat="1">
      <alignment horizontal="right" readingOrder="0" vertical="bottom"/>
    </xf>
    <xf borderId="48" fillId="0" fontId="1" numFmtId="164" xfId="0" applyAlignment="1" applyBorder="1" applyFont="1" applyNumberFormat="1">
      <alignment horizontal="right" readingOrder="0" vertical="bottom"/>
    </xf>
    <xf borderId="0" fillId="0" fontId="1" numFmtId="165" xfId="0" applyAlignment="1" applyFont="1" applyNumberFormat="1">
      <alignment horizontal="right" vertical="bottom"/>
    </xf>
    <xf borderId="49" fillId="0" fontId="2" numFmtId="0" xfId="0" applyAlignment="1" applyBorder="1" applyFont="1">
      <alignment readingOrder="0"/>
    </xf>
    <xf borderId="43" fillId="0" fontId="2" numFmtId="0" xfId="0" applyAlignment="1" applyBorder="1" applyFont="1">
      <alignment readingOrder="0"/>
    </xf>
    <xf borderId="23" fillId="0" fontId="2" numFmtId="0" xfId="0" applyAlignment="1" applyBorder="1" applyFont="1">
      <alignment readingOrder="0"/>
    </xf>
    <xf borderId="44" fillId="0" fontId="1" numFmtId="164" xfId="0" applyAlignment="1" applyBorder="1" applyFont="1" applyNumberFormat="1">
      <alignment horizontal="right" readingOrder="0" vertical="bottom"/>
    </xf>
    <xf borderId="35" fillId="0" fontId="1" numFmtId="164" xfId="0" applyAlignment="1" applyBorder="1" applyFont="1" applyNumberFormat="1">
      <alignment horizontal="right" readingOrder="0" vertical="bottom"/>
    </xf>
    <xf borderId="0" fillId="0" fontId="1" numFmtId="9" xfId="0" applyAlignment="1" applyFont="1" applyNumberFormat="1">
      <alignment horizontal="right" vertical="bottom"/>
    </xf>
    <xf borderId="49" fillId="0" fontId="2" numFmtId="0" xfId="0" applyBorder="1" applyFont="1"/>
    <xf borderId="43" fillId="0" fontId="2" numFmtId="0" xfId="0" applyBorder="1" applyFont="1"/>
    <xf borderId="19" fillId="0" fontId="1" numFmtId="164" xfId="0" applyAlignment="1" applyBorder="1" applyFont="1" applyNumberFormat="1">
      <alignment readingOrder="0" vertical="bottom"/>
    </xf>
    <xf borderId="19" fillId="0" fontId="1" numFmtId="0" xfId="0" applyAlignment="1" applyBorder="1" applyFont="1">
      <alignment vertical="bottom"/>
    </xf>
    <xf borderId="44" fillId="0" fontId="1" numFmtId="0" xfId="0" applyAlignment="1" applyBorder="1" applyFont="1">
      <alignment vertical="bottom"/>
    </xf>
    <xf borderId="45" fillId="0" fontId="1" numFmtId="0" xfId="0" applyAlignment="1" applyBorder="1" applyFont="1">
      <alignment vertical="bottom"/>
    </xf>
    <xf borderId="35" fillId="0" fontId="1" numFmtId="0" xfId="0" applyAlignment="1" applyBorder="1" applyFont="1">
      <alignment vertical="bottom"/>
    </xf>
    <xf borderId="47" fillId="0" fontId="1" numFmtId="0" xfId="0" applyAlignment="1" applyBorder="1" applyFont="1">
      <alignment vertical="bottom"/>
    </xf>
    <xf borderId="48" fillId="0" fontId="2" numFmtId="0" xfId="0" applyBorder="1" applyFont="1"/>
    <xf borderId="19" fillId="0" fontId="1" numFmtId="0" xfId="0" applyAlignment="1" applyBorder="1" applyFont="1">
      <alignment readingOrder="0" vertical="bottom"/>
    </xf>
    <xf borderId="44" fillId="0" fontId="1" numFmtId="0" xfId="0" applyAlignment="1" applyBorder="1" applyFont="1">
      <alignment readingOrder="0" vertical="bottom"/>
    </xf>
    <xf borderId="47" fillId="0" fontId="1" numFmtId="0" xfId="0" applyAlignment="1" applyBorder="1" applyFont="1">
      <alignment readingOrder="0" vertical="bottom"/>
    </xf>
    <xf borderId="43" fillId="0" fontId="1" numFmtId="0" xfId="0" applyAlignment="1" applyBorder="1" applyFont="1">
      <alignment vertical="bottom"/>
    </xf>
    <xf borderId="23" fillId="0" fontId="1" numFmtId="0" xfId="0" applyAlignment="1" applyBorder="1" applyFont="1">
      <alignment vertical="bottom"/>
    </xf>
    <xf borderId="44" fillId="0" fontId="1" numFmtId="164" xfId="0" applyAlignment="1" applyBorder="1" applyFont="1" applyNumberFormat="1">
      <alignment vertical="bottom"/>
    </xf>
    <xf borderId="45" fillId="0" fontId="1" numFmtId="164" xfId="0" applyAlignment="1" applyBorder="1" applyFont="1" applyNumberFormat="1">
      <alignment vertical="bottom"/>
    </xf>
    <xf borderId="35" fillId="0" fontId="1" numFmtId="164" xfId="0" applyAlignment="1" applyBorder="1" applyFont="1" applyNumberFormat="1">
      <alignment vertical="bottom"/>
    </xf>
    <xf borderId="47" fillId="0" fontId="1" numFmtId="164" xfId="0" applyAlignment="1" applyBorder="1" applyFont="1" applyNumberFormat="1">
      <alignment vertical="bottom"/>
    </xf>
    <xf borderId="19" fillId="7" fontId="1" numFmtId="164" xfId="0" applyAlignment="1" applyBorder="1" applyFill="1" applyFont="1" applyNumberFormat="1">
      <alignment vertical="bottom"/>
    </xf>
    <xf borderId="0" fillId="7" fontId="3" numFmtId="164" xfId="0" applyAlignment="1" applyFont="1" applyNumberFormat="1">
      <alignment vertical="bottom"/>
    </xf>
    <xf borderId="44" fillId="7" fontId="1" numFmtId="164" xfId="0" applyAlignment="1" applyBorder="1" applyFont="1" applyNumberFormat="1">
      <alignment horizontal="right" readingOrder="0" vertical="bottom"/>
    </xf>
    <xf borderId="45" fillId="7" fontId="1" numFmtId="164" xfId="0" applyAlignment="1" applyBorder="1" applyFont="1" applyNumberFormat="1">
      <alignment horizontal="right" readingOrder="0" vertical="bottom"/>
    </xf>
    <xf borderId="0" fillId="7" fontId="1" numFmtId="164" xfId="0" applyAlignment="1" applyFont="1" applyNumberFormat="1">
      <alignment horizontal="right" readingOrder="0" vertical="bottom"/>
    </xf>
    <xf borderId="35" fillId="7" fontId="1" numFmtId="164" xfId="0" applyAlignment="1" applyBorder="1" applyFont="1" applyNumberFormat="1">
      <alignment horizontal="right" readingOrder="0" vertical="bottom"/>
    </xf>
    <xf borderId="47" fillId="7" fontId="1" numFmtId="164" xfId="0" applyAlignment="1" applyBorder="1" applyFont="1" applyNumberFormat="1">
      <alignment horizontal="right" vertical="bottom"/>
    </xf>
    <xf borderId="0" fillId="7" fontId="1" numFmtId="164" xfId="0" applyAlignment="1" applyFont="1" applyNumberFormat="1">
      <alignment horizontal="right" vertical="bottom"/>
    </xf>
    <xf borderId="45" fillId="7" fontId="3" numFmtId="164" xfId="0" applyAlignment="1" applyBorder="1" applyFont="1" applyNumberFormat="1">
      <alignment vertical="bottom"/>
    </xf>
    <xf borderId="35" fillId="7" fontId="1" numFmtId="164" xfId="0" applyAlignment="1" applyBorder="1" applyFont="1" applyNumberFormat="1">
      <alignment horizontal="right" vertical="bottom"/>
    </xf>
    <xf borderId="48" fillId="7" fontId="3" numFmtId="164" xfId="0" applyAlignment="1" applyBorder="1" applyFont="1" applyNumberFormat="1">
      <alignment vertical="bottom"/>
    </xf>
    <xf borderId="21" fillId="7" fontId="1" numFmtId="164" xfId="0" applyAlignment="1" applyBorder="1" applyFont="1" applyNumberFormat="1">
      <alignment vertical="bottom"/>
    </xf>
    <xf borderId="21" fillId="5" fontId="2" numFmtId="0" xfId="0" applyAlignment="1" applyBorder="1" applyFont="1">
      <alignment horizontal="left" readingOrder="0"/>
    </xf>
    <xf borderId="43" fillId="7" fontId="2" numFmtId="0" xfId="0" applyAlignment="1" applyBorder="1" applyFont="1">
      <alignment horizontal="left" readingOrder="0"/>
    </xf>
    <xf borderId="49" fillId="7" fontId="2" numFmtId="0" xfId="0" applyAlignment="1" applyBorder="1" applyFont="1">
      <alignment horizontal="left" readingOrder="0"/>
    </xf>
    <xf borderId="0" fillId="7" fontId="2" numFmtId="0" xfId="0" applyAlignment="1" applyFont="1">
      <alignment horizontal="left" readingOrder="0"/>
    </xf>
    <xf borderId="47" fillId="7" fontId="2" numFmtId="0" xfId="0" applyAlignment="1" applyBorder="1" applyFont="1">
      <alignment horizontal="left" readingOrder="0"/>
    </xf>
    <xf borderId="19" fillId="7" fontId="1" numFmtId="164" xfId="0" applyAlignment="1" applyBorder="1" applyFont="1" applyNumberFormat="1">
      <alignment readingOrder="0" vertical="bottom"/>
    </xf>
    <xf borderId="21" fillId="7" fontId="1" numFmtId="164" xfId="0" applyAlignment="1" applyBorder="1" applyFont="1" applyNumberFormat="1">
      <alignment readingOrder="0" vertical="bottom"/>
    </xf>
    <xf borderId="43" fillId="0" fontId="2" numFmtId="0" xfId="0" applyAlignment="1" applyBorder="1" applyFont="1">
      <alignment horizontal="left" readingOrder="0"/>
    </xf>
    <xf borderId="49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 readingOrder="0"/>
    </xf>
    <xf borderId="47" fillId="0" fontId="2" numFmtId="0" xfId="0" applyAlignment="1" applyBorder="1" applyFont="1">
      <alignment horizontal="left" readingOrder="0"/>
    </xf>
    <xf borderId="21" fillId="5" fontId="3" numFmtId="166" xfId="0" applyAlignment="1" applyBorder="1" applyFont="1" applyNumberFormat="1">
      <alignment horizontal="left" readingOrder="0" vertical="bottom"/>
    </xf>
    <xf borderId="43" fillId="0" fontId="3" numFmtId="166" xfId="0" applyAlignment="1" applyBorder="1" applyFont="1" applyNumberFormat="1">
      <alignment horizontal="left" vertical="bottom"/>
    </xf>
    <xf borderId="49" fillId="0" fontId="3" numFmtId="166" xfId="0" applyAlignment="1" applyBorder="1" applyFont="1" applyNumberFormat="1">
      <alignment horizontal="left" readingOrder="0" vertical="bottom"/>
    </xf>
    <xf borderId="0" fillId="0" fontId="3" numFmtId="166" xfId="0" applyAlignment="1" applyFont="1" applyNumberFormat="1">
      <alignment horizontal="left" vertical="bottom"/>
    </xf>
    <xf borderId="49" fillId="0" fontId="2" numFmtId="166" xfId="0" applyAlignment="1" applyBorder="1" applyFont="1" applyNumberFormat="1">
      <alignment horizontal="left" readingOrder="0"/>
    </xf>
    <xf borderId="0" fillId="0" fontId="2" numFmtId="166" xfId="0" applyAlignment="1" applyFont="1" applyNumberFormat="1">
      <alignment horizontal="left" readingOrder="0"/>
    </xf>
    <xf borderId="22" fillId="5" fontId="3" numFmtId="166" xfId="0" applyAlignment="1" applyBorder="1" applyFont="1" applyNumberFormat="1">
      <alignment horizontal="left" readingOrder="0" vertical="bottom"/>
    </xf>
    <xf borderId="43" fillId="0" fontId="3" numFmtId="166" xfId="0" applyAlignment="1" applyBorder="1" applyFont="1" applyNumberFormat="1">
      <alignment horizontal="left" readingOrder="0" vertical="bottom"/>
    </xf>
    <xf borderId="0" fillId="0" fontId="3" numFmtId="166" xfId="0" applyAlignment="1" applyFont="1" applyNumberFormat="1">
      <alignment horizontal="left" readingOrder="0" vertical="bottom"/>
    </xf>
    <xf borderId="47" fillId="0" fontId="3" numFmtId="166" xfId="0" applyAlignment="1" applyBorder="1" applyFont="1" applyNumberFormat="1">
      <alignment horizontal="left" readingOrder="0" vertical="bottom"/>
    </xf>
    <xf borderId="21" fillId="5" fontId="3" numFmtId="0" xfId="0" applyAlignment="1" applyBorder="1" applyFont="1">
      <alignment horizontal="left" readingOrder="0" vertical="bottom"/>
    </xf>
    <xf borderId="43" fillId="0" fontId="3" numFmtId="0" xfId="0" applyAlignment="1" applyBorder="1" applyFont="1">
      <alignment horizontal="left" vertical="bottom"/>
    </xf>
    <xf borderId="0" fillId="0" fontId="3" numFmtId="0" xfId="0" applyAlignment="1" applyFont="1">
      <alignment horizontal="left" readingOrder="0" vertical="bottom"/>
    </xf>
    <xf borderId="43" fillId="0" fontId="3" numFmtId="0" xfId="0" applyAlignment="1" applyBorder="1" applyFont="1">
      <alignment horizontal="left" readingOrder="0" vertical="bottom"/>
    </xf>
    <xf borderId="49" fillId="0" fontId="3" numFmtId="0" xfId="0" applyAlignment="1" applyBorder="1" applyFont="1">
      <alignment horizontal="left" readingOrder="0" vertical="bottom"/>
    </xf>
    <xf borderId="47" fillId="0" fontId="3" numFmtId="0" xfId="0" applyAlignment="1" applyBorder="1" applyFont="1">
      <alignment horizontal="left" readingOrder="0" vertical="bottom"/>
    </xf>
    <xf borderId="21" fillId="5" fontId="3" numFmtId="0" xfId="0" applyAlignment="1" applyBorder="1" applyFont="1">
      <alignment horizontal="left" vertical="bottom"/>
    </xf>
    <xf borderId="19" fillId="7" fontId="1" numFmtId="0" xfId="0" applyAlignment="1" applyBorder="1" applyFont="1">
      <alignment readingOrder="0" vertical="bottom"/>
    </xf>
    <xf borderId="45" fillId="7" fontId="1" numFmtId="3" xfId="0" applyAlignment="1" applyBorder="1" applyFont="1" applyNumberFormat="1">
      <alignment horizontal="right" readingOrder="0" vertical="bottom"/>
    </xf>
    <xf borderId="0" fillId="7" fontId="1" numFmtId="3" xfId="0" applyAlignment="1" applyFont="1" applyNumberFormat="1">
      <alignment horizontal="right" readingOrder="0" vertical="bottom"/>
    </xf>
    <xf borderId="45" fillId="7" fontId="3" numFmtId="3" xfId="0" applyAlignment="1" applyBorder="1" applyFont="1" applyNumberFormat="1">
      <alignment vertical="bottom"/>
    </xf>
    <xf borderId="0" fillId="7" fontId="3" numFmtId="3" xfId="0" applyAlignment="1" applyFont="1" applyNumberFormat="1">
      <alignment vertical="bottom"/>
    </xf>
    <xf borderId="50" fillId="7" fontId="1" numFmtId="164" xfId="0" applyAlignment="1" applyBorder="1" applyFont="1" applyNumberFormat="1">
      <alignment horizontal="right" vertical="bottom"/>
    </xf>
    <xf borderId="48" fillId="7" fontId="3" numFmtId="3" xfId="0" applyAlignment="1" applyBorder="1" applyFont="1" applyNumberFormat="1">
      <alignment vertical="bottom"/>
    </xf>
    <xf borderId="21" fillId="7" fontId="1" numFmtId="0" xfId="0" applyAlignment="1" applyBorder="1" applyFont="1">
      <alignment readingOrder="0" vertical="bottom"/>
    </xf>
    <xf borderId="19" fillId="7" fontId="1" numFmtId="0" xfId="0" applyAlignment="1" applyBorder="1" applyFont="1">
      <alignment vertical="bottom"/>
    </xf>
    <xf borderId="21" fillId="7" fontId="1" numFmtId="0" xfId="0" applyAlignment="1" applyBorder="1" applyFont="1">
      <alignment vertical="bottom"/>
    </xf>
    <xf borderId="0" fillId="7" fontId="2" numFmtId="0" xfId="0" applyAlignment="1" applyFont="1">
      <alignment readingOrder="0"/>
    </xf>
    <xf borderId="50" fillId="7" fontId="1" numFmtId="164" xfId="0" applyAlignment="1" applyBorder="1" applyFont="1" applyNumberFormat="1">
      <alignment horizontal="right" readingOrder="0" vertical="bottom"/>
    </xf>
    <xf borderId="49" fillId="0" fontId="3" numFmtId="0" xfId="0" applyAlignment="1" applyBorder="1" applyFont="1">
      <alignment horizontal="left" vertical="bottom"/>
    </xf>
    <xf borderId="0" fillId="0" fontId="3" numFmtId="0" xfId="0" applyAlignment="1" applyFont="1">
      <alignment horizontal="left" vertical="bottom"/>
    </xf>
    <xf borderId="21" fillId="0" fontId="1" numFmtId="0" xfId="0" applyAlignment="1" applyBorder="1" applyFont="1">
      <alignment readingOrder="0" vertical="bottom"/>
    </xf>
    <xf borderId="22" fillId="5" fontId="3" numFmtId="0" xfId="0" applyAlignment="1" applyBorder="1" applyFont="1">
      <alignment horizontal="left" vertical="bottom"/>
    </xf>
    <xf borderId="22" fillId="0" fontId="3" numFmtId="0" xfId="0" applyAlignment="1" applyBorder="1" applyFont="1">
      <alignment horizontal="left" readingOrder="0" vertical="bottom"/>
    </xf>
    <xf borderId="43" fillId="0" fontId="2" numFmtId="0" xfId="0" applyAlignment="1" applyBorder="1" applyFont="1">
      <alignment horizontal="left"/>
    </xf>
    <xf borderId="23" fillId="0" fontId="2" numFmtId="0" xfId="0" applyAlignment="1" applyBorder="1" applyFont="1">
      <alignment horizontal="left"/>
    </xf>
    <xf borderId="51" fillId="7" fontId="1" numFmtId="164" xfId="0" applyAlignment="1" applyBorder="1" applyFont="1" applyNumberFormat="1">
      <alignment horizontal="right" readingOrder="0" vertical="bottom"/>
    </xf>
    <xf borderId="52" fillId="7" fontId="1" numFmtId="3" xfId="0" applyAlignment="1" applyBorder="1" applyFont="1" applyNumberFormat="1">
      <alignment horizontal="right" readingOrder="0" vertical="bottom"/>
    </xf>
    <xf borderId="53" fillId="7" fontId="1" numFmtId="164" xfId="0" applyAlignment="1" applyBorder="1" applyFont="1" applyNumberFormat="1">
      <alignment horizontal="right" readingOrder="0" vertical="bottom"/>
    </xf>
    <xf borderId="54" fillId="7" fontId="1" numFmtId="164" xfId="0" applyAlignment="1" applyBorder="1" applyFont="1" applyNumberFormat="1">
      <alignment horizontal="right" vertical="bottom"/>
    </xf>
    <xf borderId="52" fillId="7" fontId="1" numFmtId="164" xfId="0" applyAlignment="1" applyBorder="1" applyFont="1" applyNumberFormat="1">
      <alignment horizontal="right" vertical="bottom"/>
    </xf>
    <xf borderId="52" fillId="7" fontId="3" numFmtId="3" xfId="0" applyAlignment="1" applyBorder="1" applyFont="1" applyNumberFormat="1">
      <alignment vertical="bottom"/>
    </xf>
    <xf borderId="53" fillId="7" fontId="1" numFmtId="164" xfId="0" applyAlignment="1" applyBorder="1" applyFont="1" applyNumberFormat="1">
      <alignment horizontal="right" vertical="bottom"/>
    </xf>
    <xf borderId="55" fillId="7" fontId="3" numFmtId="3" xfId="0" applyAlignment="1" applyBorder="1" applyFont="1" applyNumberFormat="1">
      <alignment vertical="bottom"/>
    </xf>
    <xf borderId="56" fillId="0" fontId="1" numFmtId="0" xfId="0" applyAlignment="1" applyBorder="1" applyFont="1">
      <alignment readingOrder="0" vertical="bottom"/>
    </xf>
    <xf borderId="57" fillId="5" fontId="3" numFmtId="0" xfId="0" applyAlignment="1" applyBorder="1" applyFont="1">
      <alignment horizontal="left" vertical="bottom"/>
    </xf>
    <xf borderId="58" fillId="0" fontId="3" numFmtId="0" xfId="0" applyAlignment="1" applyBorder="1" applyFont="1">
      <alignment horizontal="left" vertical="bottom"/>
    </xf>
    <xf borderId="59" fillId="0" fontId="3" numFmtId="0" xfId="0" applyAlignment="1" applyBorder="1" applyFont="1">
      <alignment horizontal="left" vertical="bottom"/>
    </xf>
    <xf borderId="60" fillId="0" fontId="3" numFmtId="0" xfId="0" applyAlignment="1" applyBorder="1" applyFont="1">
      <alignment horizontal="left" readingOrder="0" vertical="bottom"/>
    </xf>
    <xf borderId="58" fillId="0" fontId="3" numFmtId="0" xfId="0" applyAlignment="1" applyBorder="1" applyFont="1">
      <alignment horizontal="left" readingOrder="0" vertical="bottom"/>
    </xf>
    <xf borderId="57" fillId="0" fontId="3" numFmtId="0" xfId="0" applyAlignment="1" applyBorder="1" applyFont="1">
      <alignment horizontal="left" readingOrder="0" vertical="bottom"/>
    </xf>
    <xf borderId="60" fillId="0" fontId="2" numFmtId="0" xfId="0" applyAlignment="1" applyBorder="1" applyFont="1">
      <alignment horizontal="left"/>
    </xf>
    <xf borderId="61" fillId="0" fontId="2" numFmtId="0" xfId="0" applyAlignment="1" applyBorder="1" applyFont="1">
      <alignment horizontal="left"/>
    </xf>
    <xf borderId="62" fillId="3" fontId="5" numFmtId="0" xfId="0" applyAlignment="1" applyBorder="1" applyFont="1">
      <alignment vertical="bottom"/>
    </xf>
    <xf borderId="63" fillId="3" fontId="5" numFmtId="0" xfId="0" applyAlignment="1" applyBorder="1" applyFont="1">
      <alignment vertical="bottom"/>
    </xf>
    <xf borderId="64" fillId="3" fontId="5" numFmtId="0" xfId="0" applyAlignment="1" applyBorder="1" applyFont="1">
      <alignment vertical="bottom"/>
    </xf>
    <xf borderId="65" fillId="3" fontId="5" numFmtId="0" xfId="0" applyAlignment="1" applyBorder="1" applyFont="1">
      <alignment vertical="bottom"/>
    </xf>
    <xf borderId="66" fillId="3" fontId="5" numFmtId="0" xfId="0" applyAlignment="1" applyBorder="1" applyFont="1">
      <alignment vertical="bottom"/>
    </xf>
    <xf borderId="65" fillId="3" fontId="5" numFmtId="0" xfId="0" applyAlignment="1" applyBorder="1" applyFont="1">
      <alignment readingOrder="0" vertical="bottom"/>
    </xf>
    <xf borderId="0" fillId="0" fontId="3" numFmtId="165" xfId="0" applyAlignment="1" applyFont="1" applyNumberFormat="1">
      <alignment vertical="bottom"/>
    </xf>
    <xf borderId="0" fillId="4" fontId="8" numFmtId="165" xfId="0" applyAlignment="1" applyFont="1" applyNumberFormat="1">
      <alignment horizontal="right" vertical="bottom"/>
    </xf>
    <xf borderId="0" fillId="4" fontId="8" numFmtId="165" xfId="0" applyAlignment="1" applyFont="1" applyNumberFormat="1">
      <alignment horizontal="right" readingOrder="0" vertical="bottom"/>
    </xf>
    <xf borderId="0" fillId="0" fontId="8" numFmtId="165" xfId="0" applyAlignment="1" applyFont="1" applyNumberFormat="1">
      <alignment horizontal="right" vertical="bottom"/>
    </xf>
    <xf borderId="0" fillId="0" fontId="3" numFmtId="166" xfId="0" applyAlignment="1" applyFont="1" applyNumberFormat="1">
      <alignment horizontal="center" readingOrder="0" vertical="bottom"/>
    </xf>
    <xf borderId="0" fillId="0" fontId="12" numFmtId="165" xfId="0" applyAlignment="1" applyFont="1" applyNumberFormat="1">
      <alignment readingOrder="0" vertical="bottom"/>
    </xf>
    <xf borderId="0" fillId="0" fontId="3" numFmtId="9" xfId="0" applyAlignment="1" applyFont="1" applyNumberFormat="1">
      <alignment vertical="bottom"/>
    </xf>
    <xf borderId="0" fillId="0" fontId="9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67" fillId="0" fontId="2" numFmtId="0" xfId="0" applyBorder="1" applyFont="1"/>
    <xf borderId="68" fillId="0" fontId="2" numFmtId="0" xfId="0" applyBorder="1" applyFont="1"/>
    <xf borderId="69" fillId="0" fontId="2" numFmtId="0" xfId="0" applyBorder="1" applyFont="1"/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70" fillId="8" fontId="3" numFmtId="0" xfId="0" applyAlignment="1" applyBorder="1" applyFill="1" applyFont="1">
      <alignment horizontal="left" vertical="bottom"/>
    </xf>
    <xf borderId="71" fillId="8" fontId="13" numFmtId="0" xfId="0" applyAlignment="1" applyBorder="1" applyFont="1">
      <alignment horizontal="center" vertical="bottom"/>
    </xf>
    <xf borderId="72" fillId="8" fontId="13" numFmtId="0" xfId="0" applyAlignment="1" applyBorder="1" applyFont="1">
      <alignment horizontal="center" vertical="bottom"/>
    </xf>
    <xf borderId="73" fillId="0" fontId="11" numFmtId="0" xfId="0" applyBorder="1" applyFont="1"/>
    <xf borderId="74" fillId="0" fontId="11" numFmtId="0" xfId="0" applyBorder="1" applyFont="1"/>
    <xf borderId="74" fillId="8" fontId="13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75" fillId="0" fontId="11" numFmtId="0" xfId="0" applyBorder="1" applyFont="1"/>
    <xf borderId="71" fillId="7" fontId="3" numFmtId="166" xfId="0" applyAlignment="1" applyBorder="1" applyFont="1" applyNumberFormat="1">
      <alignment horizontal="center" readingOrder="0" vertical="bottom"/>
    </xf>
    <xf borderId="71" fillId="7" fontId="3" numFmtId="166" xfId="0" applyAlignment="1" applyBorder="1" applyFont="1" applyNumberFormat="1">
      <alignment horizontal="center" vertical="bottom"/>
    </xf>
    <xf borderId="71" fillId="5" fontId="3" numFmtId="166" xfId="0" applyAlignment="1" applyBorder="1" applyFont="1" applyNumberFormat="1">
      <alignment horizontal="center" vertical="bottom"/>
    </xf>
    <xf borderId="71" fillId="9" fontId="3" numFmtId="166" xfId="0" applyAlignment="1" applyBorder="1" applyFill="1" applyFont="1" applyNumberFormat="1">
      <alignment horizontal="center" vertical="bottom"/>
    </xf>
    <xf borderId="72" fillId="10" fontId="3" numFmtId="166" xfId="0" applyAlignment="1" applyBorder="1" applyFill="1" applyFont="1" applyNumberFormat="1">
      <alignment horizontal="center" vertical="bottom"/>
    </xf>
    <xf borderId="76" fillId="7" fontId="3" numFmtId="166" xfId="0" applyAlignment="1" applyBorder="1" applyFont="1" applyNumberFormat="1">
      <alignment horizontal="center" readingOrder="0" vertical="bottom"/>
    </xf>
    <xf borderId="71" fillId="10" fontId="3" numFmtId="166" xfId="0" applyAlignment="1" applyBorder="1" applyFont="1" applyNumberFormat="1">
      <alignment horizontal="center" vertical="bottom"/>
    </xf>
    <xf borderId="0" fillId="0" fontId="3" numFmtId="9" xfId="0" applyAlignment="1" applyFont="1" applyNumberFormat="1">
      <alignment horizontal="right" vertical="bottom"/>
    </xf>
    <xf borderId="71" fillId="8" fontId="3" numFmtId="0" xfId="0" applyAlignment="1" applyBorder="1" applyFont="1">
      <alignment horizontal="left" readingOrder="0" shrinkToFit="0" vertical="bottom" wrapText="1"/>
    </xf>
    <xf borderId="71" fillId="11" fontId="3" numFmtId="166" xfId="0" applyAlignment="1" applyBorder="1" applyFill="1" applyFont="1" applyNumberFormat="1">
      <alignment horizontal="center" readingOrder="0" vertical="bottom"/>
    </xf>
    <xf borderId="71" fillId="11" fontId="3" numFmtId="9" xfId="0" applyAlignment="1" applyBorder="1" applyFont="1" applyNumberFormat="1">
      <alignment horizontal="center" readingOrder="0" vertical="bottom"/>
    </xf>
    <xf borderId="72" fillId="11" fontId="3" numFmtId="9" xfId="0" applyAlignment="1" applyBorder="1" applyFont="1" applyNumberFormat="1">
      <alignment horizontal="center" readingOrder="0" vertical="bottom"/>
    </xf>
    <xf borderId="76" fillId="12" fontId="3" numFmtId="166" xfId="0" applyAlignment="1" applyBorder="1" applyFill="1" applyFont="1" applyNumberFormat="1">
      <alignment horizontal="center" readingOrder="0" vertical="bottom"/>
    </xf>
    <xf borderId="71" fillId="12" fontId="3" numFmtId="9" xfId="0" applyAlignment="1" applyBorder="1" applyFont="1" applyNumberFormat="1">
      <alignment horizontal="center" readingOrder="0" vertical="bottom"/>
    </xf>
    <xf borderId="71" fillId="8" fontId="3" numFmtId="0" xfId="0" applyAlignment="1" applyBorder="1" applyFont="1">
      <alignment horizontal="left" shrinkToFit="0" vertical="bottom" wrapText="1"/>
    </xf>
    <xf borderId="71" fillId="11" fontId="3" numFmtId="166" xfId="0" applyAlignment="1" applyBorder="1" applyFont="1" applyNumberFormat="1">
      <alignment horizontal="center" vertical="bottom"/>
    </xf>
    <xf borderId="72" fillId="11" fontId="3" numFmtId="166" xfId="0" applyAlignment="1" applyBorder="1" applyFont="1" applyNumberFormat="1">
      <alignment horizontal="center" readingOrder="0" vertical="bottom"/>
    </xf>
    <xf borderId="71" fillId="12" fontId="3" numFmtId="166" xfId="0" applyAlignment="1" applyBorder="1" applyFont="1" applyNumberFormat="1">
      <alignment horizontal="center" vertical="bottom"/>
    </xf>
    <xf borderId="71" fillId="12" fontId="3" numFmtId="166" xfId="0" applyAlignment="1" applyBorder="1" applyFont="1" applyNumberFormat="1">
      <alignment horizontal="center" readingOrder="0" vertical="bottom"/>
    </xf>
    <xf borderId="77" fillId="5" fontId="5" numFmtId="0" xfId="0" applyAlignment="1" applyBorder="1" applyFont="1">
      <alignment vertical="bottom"/>
    </xf>
    <xf borderId="78" fillId="5" fontId="5" numFmtId="0" xfId="0" applyAlignment="1" applyBorder="1" applyFont="1">
      <alignment vertical="bottom"/>
    </xf>
    <xf borderId="78" fillId="5" fontId="5" numFmtId="0" xfId="0" applyAlignment="1" applyBorder="1" applyFont="1">
      <alignment readingOrder="0" vertical="bottom"/>
    </xf>
    <xf borderId="79" fillId="5" fontId="2" numFmtId="0" xfId="0" applyBorder="1" applyFont="1"/>
    <xf borderId="71" fillId="8" fontId="3" numFmtId="0" xfId="0" applyAlignment="1" applyBorder="1" applyFont="1">
      <alignment readingOrder="0" vertical="bottom"/>
    </xf>
    <xf borderId="43" fillId="5" fontId="1" numFmtId="0" xfId="0" applyAlignment="1" applyBorder="1" applyFont="1">
      <alignment vertical="bottom"/>
    </xf>
    <xf borderId="0" fillId="5" fontId="1" numFmtId="164" xfId="0" applyAlignment="1" applyFont="1" applyNumberFormat="1">
      <alignment horizontal="right" readingOrder="0" vertical="bottom"/>
    </xf>
    <xf borderId="0" fillId="5" fontId="14" numFmtId="165" xfId="0" applyAlignment="1" applyFont="1" applyNumberFormat="1">
      <alignment horizontal="right" vertical="bottom"/>
    </xf>
    <xf borderId="0" fillId="5" fontId="1" numFmtId="165" xfId="0" applyAlignment="1" applyFont="1" applyNumberFormat="1">
      <alignment horizontal="right" readingOrder="0" vertical="bottom"/>
    </xf>
    <xf borderId="49" fillId="5" fontId="2" numFmtId="0" xfId="0" applyBorder="1" applyFont="1"/>
    <xf borderId="71" fillId="8" fontId="3" numFmtId="0" xfId="0" applyAlignment="1" applyBorder="1" applyFont="1">
      <alignment vertical="bottom"/>
    </xf>
    <xf borderId="43" fillId="5" fontId="1" numFmtId="0" xfId="0" applyAlignment="1" applyBorder="1" applyFont="1">
      <alignment readingOrder="0" vertical="bottom"/>
    </xf>
    <xf borderId="0" fillId="5" fontId="14" numFmtId="165" xfId="0" applyAlignment="1" applyFont="1" applyNumberFormat="1">
      <alignment horizontal="right" readingOrder="0" vertical="bottom"/>
    </xf>
    <xf borderId="49" fillId="5" fontId="1" numFmtId="9" xfId="0" applyAlignment="1" applyBorder="1" applyFont="1" applyNumberFormat="1">
      <alignment horizontal="right" vertical="bottom"/>
    </xf>
    <xf borderId="0" fillId="5" fontId="12" numFmtId="165" xfId="0" applyAlignment="1" applyFont="1" applyNumberFormat="1">
      <alignment readingOrder="0" vertical="bottom"/>
    </xf>
    <xf borderId="0" fillId="5" fontId="1" numFmtId="165" xfId="0" applyAlignment="1" applyFont="1" applyNumberFormat="1">
      <alignment horizontal="right" readingOrder="0" vertical="bottom"/>
    </xf>
    <xf borderId="49" fillId="5" fontId="1" numFmtId="9" xfId="0" applyAlignment="1" applyBorder="1" applyFont="1" applyNumberFormat="1">
      <alignment horizontal="center" vertical="bottom"/>
    </xf>
    <xf borderId="0" fillId="5" fontId="12" numFmtId="165" xfId="0" applyAlignment="1" applyFont="1" applyNumberFormat="1">
      <alignment horizontal="right" readingOrder="0" vertical="bottom"/>
    </xf>
    <xf borderId="0" fillId="5" fontId="1" numFmtId="0" xfId="0" applyAlignment="1" applyFont="1">
      <alignment horizontal="center" vertical="bottom"/>
    </xf>
    <xf borderId="0" fillId="5" fontId="15" numFmtId="165" xfId="0" applyAlignment="1" applyFont="1" applyNumberFormat="1">
      <alignment horizontal="right" readingOrder="0" vertical="bottom"/>
    </xf>
    <xf borderId="43" fillId="5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Font="1"/>
    <xf borderId="76" fillId="12" fontId="3" numFmtId="166" xfId="0" applyAlignment="1" applyBorder="1" applyFont="1" applyNumberFormat="1">
      <alignment horizontal="center" vertical="bottom"/>
    </xf>
    <xf borderId="0" fillId="0" fontId="15" numFmtId="165" xfId="0" applyAlignment="1" applyFont="1" applyNumberFormat="1">
      <alignment horizontal="right" readingOrder="0" vertical="bottom"/>
    </xf>
    <xf borderId="43" fillId="5" fontId="16" numFmtId="0" xfId="0" applyAlignment="1" applyBorder="1" applyFont="1">
      <alignment horizontal="left" readingOrder="0" vertical="bottom"/>
    </xf>
    <xf borderId="0" fillId="5" fontId="17" numFmtId="0" xfId="0" applyAlignment="1" applyFont="1">
      <alignment horizontal="right" readingOrder="0" vertical="bottom"/>
    </xf>
    <xf borderId="0" fillId="5" fontId="1" numFmtId="0" xfId="0" applyAlignment="1" applyFont="1">
      <alignment readingOrder="0" vertical="bottom"/>
    </xf>
    <xf borderId="0" fillId="5" fontId="16" numFmtId="0" xfId="0" applyAlignment="1" applyFont="1">
      <alignment horizontal="right" readingOrder="0" vertical="bottom"/>
    </xf>
    <xf borderId="49" fillId="5" fontId="8" numFmtId="9" xfId="0" applyAlignment="1" applyBorder="1" applyFont="1" applyNumberFormat="1">
      <alignment horizontal="right" vertical="bottom"/>
    </xf>
    <xf borderId="0" fillId="5" fontId="1" numFmtId="0" xfId="0" applyAlignment="1" applyFont="1">
      <alignment vertical="bottom"/>
    </xf>
    <xf borderId="49" fillId="5" fontId="1" numFmtId="0" xfId="0" applyAlignment="1" applyBorder="1" applyFont="1">
      <alignment vertical="bottom"/>
    </xf>
    <xf borderId="80" fillId="5" fontId="1" numFmtId="0" xfId="0" applyAlignment="1" applyBorder="1" applyFont="1">
      <alignment readingOrder="0" vertical="bottom"/>
    </xf>
    <xf borderId="81" fillId="5" fontId="1" numFmtId="0" xfId="0" applyAlignment="1" applyBorder="1" applyFont="1">
      <alignment vertical="bottom"/>
    </xf>
    <xf borderId="82" fillId="5" fontId="1" numFmtId="0" xfId="0" applyAlignment="1" applyBorder="1" applyFont="1">
      <alignment vertical="bottom"/>
    </xf>
    <xf borderId="0" fillId="0" fontId="3" numFmtId="0" xfId="0" applyAlignment="1" applyFont="1">
      <alignment horizontal="left" vertical="bottom"/>
    </xf>
    <xf borderId="0" fillId="0" fontId="13" numFmtId="0" xfId="0" applyAlignment="1" applyFont="1">
      <alignment horizontal="center" vertical="bottom"/>
    </xf>
    <xf borderId="0" fillId="0" fontId="3" numFmtId="166" xfId="0" applyAlignment="1" applyFont="1" applyNumberFormat="1">
      <alignment horizontal="center" vertical="bottom"/>
    </xf>
    <xf borderId="0" fillId="0" fontId="3" numFmtId="0" xfId="0" applyAlignment="1" applyFont="1">
      <alignment horizontal="left" readingOrder="0" shrinkToFit="0" vertical="bottom" wrapText="1"/>
    </xf>
    <xf borderId="0" fillId="0" fontId="3" numFmtId="9" xfId="0" applyAlignment="1" applyFont="1" applyNumberFormat="1">
      <alignment horizontal="center" readingOrder="0" vertical="bottom"/>
    </xf>
    <xf borderId="0" fillId="0" fontId="3" numFmtId="9" xfId="0" applyAlignment="1" applyFont="1" applyNumberFormat="1">
      <alignment horizontal="center" vertical="bottom"/>
    </xf>
    <xf borderId="0" fillId="0" fontId="3" numFmtId="0" xfId="0" applyAlignment="1" applyFont="1">
      <alignment horizontal="left" shrinkToFit="0" vertical="bottom" wrapText="1"/>
    </xf>
    <xf borderId="0" fillId="0" fontId="3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left" readingOrder="0" vertical="bottom"/>
    </xf>
    <xf borderId="0" fillId="0" fontId="15" numFmtId="164" xfId="0" applyAlignment="1" applyFont="1" applyNumberFormat="1">
      <alignment horizontal="right" vertical="bottom"/>
    </xf>
    <xf borderId="0" fillId="0" fontId="15" numFmtId="164" xfId="0" applyAlignment="1" applyFont="1" applyNumberFormat="1">
      <alignment vertical="bottom"/>
    </xf>
    <xf borderId="0" fillId="0" fontId="1" numFmtId="9" xfId="0" applyAlignment="1" applyFont="1" applyNumberFormat="1">
      <alignment vertical="bottom"/>
    </xf>
    <xf borderId="0" fillId="0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23.88"/>
    <col customWidth="1" min="4" max="4" width="24.25"/>
    <col customWidth="1" min="5" max="5" width="13.75"/>
    <col customWidth="1" min="6" max="6" width="19.25"/>
    <col customWidth="1" min="8" max="8" width="19.75"/>
    <col customWidth="1" min="10" max="10" width="17.63"/>
    <col customWidth="1" min="26" max="26" width="33.75"/>
    <col customWidth="1" min="27" max="27" width="26.88"/>
    <col customWidth="1" min="28" max="28" width="19.88"/>
    <col customWidth="1" min="29" max="29" width="15.38"/>
    <col customWidth="1" min="30" max="30" width="20.5"/>
    <col customWidth="1" min="31" max="31" width="16.0"/>
    <col customWidth="1" min="32" max="32" width="20.25"/>
    <col customWidth="1" min="33" max="33" width="16.75"/>
    <col customWidth="1" min="34" max="34" width="19.5"/>
    <col customWidth="1" min="35" max="35" width="17.25"/>
    <col customWidth="1" min="36" max="36" width="29.75"/>
    <col customWidth="1" min="37" max="37" width="18.38"/>
    <col customWidth="1" min="38" max="38" width="15.63"/>
    <col customWidth="1" min="39" max="39" width="18.38"/>
    <col customWidth="1" min="40" max="40" width="15.5"/>
    <col customWidth="1" min="41" max="41" width="18.63"/>
    <col customWidth="1" min="42" max="42" width="17.5"/>
    <col customWidth="1" min="43" max="43" width="20.5"/>
    <col customWidth="1" min="44" max="44" width="14.38"/>
    <col customWidth="1" min="47" max="47" width="28.25"/>
  </cols>
  <sheetData>
    <row r="1">
      <c r="F1" s="1"/>
      <c r="G1" s="2"/>
      <c r="H1" s="2"/>
      <c r="I1" s="2"/>
      <c r="J1" s="2"/>
      <c r="K1" s="1"/>
      <c r="L1" s="2"/>
      <c r="M1" s="2"/>
      <c r="N1" s="2"/>
      <c r="O1" s="2"/>
      <c r="P1" s="2"/>
      <c r="Q1" s="2"/>
      <c r="R1" s="1"/>
      <c r="S1" s="2"/>
      <c r="T1" s="2"/>
      <c r="U1" s="2"/>
      <c r="V1" s="2"/>
      <c r="W1" s="2"/>
      <c r="X1" s="2"/>
      <c r="Y1" s="1"/>
      <c r="Z1" s="1"/>
      <c r="AA1" s="1"/>
      <c r="AB1" s="1"/>
      <c r="AC1" s="1"/>
    </row>
    <row r="2">
      <c r="B2" s="3"/>
      <c r="F2" s="1"/>
      <c r="G2" s="2"/>
      <c r="H2" s="2"/>
      <c r="I2" s="2"/>
      <c r="J2" s="2"/>
      <c r="K2" s="1"/>
      <c r="L2" s="2"/>
      <c r="M2" s="2"/>
      <c r="N2" s="2"/>
      <c r="O2" s="2"/>
      <c r="P2" s="2"/>
      <c r="Q2" s="2"/>
      <c r="R2" s="1"/>
      <c r="S2" s="2"/>
      <c r="T2" s="2"/>
      <c r="U2" s="2"/>
      <c r="V2" s="2"/>
      <c r="W2" s="2"/>
      <c r="X2" s="2"/>
      <c r="Y2" s="4"/>
      <c r="AB2" s="1"/>
      <c r="AC2" s="1"/>
    </row>
    <row r="3">
      <c r="A3" s="5"/>
      <c r="B3" s="6" t="s">
        <v>0</v>
      </c>
      <c r="C3" s="7"/>
      <c r="D3" s="8"/>
      <c r="F3" s="9" t="s">
        <v>1</v>
      </c>
      <c r="G3" s="1"/>
      <c r="H3" s="10"/>
      <c r="I3" s="10"/>
      <c r="J3" s="10"/>
      <c r="K3" s="1"/>
      <c r="L3" s="10"/>
      <c r="M3" s="10"/>
      <c r="N3" s="10"/>
      <c r="O3" s="10"/>
      <c r="P3" s="10"/>
      <c r="Q3" s="10"/>
      <c r="R3" s="1"/>
      <c r="S3" s="10"/>
      <c r="T3" s="10"/>
      <c r="U3" s="10"/>
      <c r="V3" s="10"/>
      <c r="W3" s="10"/>
      <c r="X3" s="10"/>
      <c r="Y3" s="11"/>
      <c r="AB3" s="1"/>
      <c r="AC3" s="1"/>
    </row>
    <row r="4">
      <c r="A4" s="5"/>
      <c r="B4" s="12" t="s">
        <v>2</v>
      </c>
      <c r="C4" s="13" t="s">
        <v>3</v>
      </c>
      <c r="D4" s="14" t="s">
        <v>4</v>
      </c>
      <c r="F4" s="15" t="s">
        <v>2</v>
      </c>
      <c r="G4" s="15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6"/>
      <c r="AB4" s="1"/>
      <c r="AC4" s="1"/>
    </row>
    <row r="5">
      <c r="A5" s="5"/>
      <c r="B5" s="17" t="s">
        <v>6</v>
      </c>
      <c r="C5" s="18">
        <v>874.0</v>
      </c>
      <c r="D5" s="19">
        <v>0.51</v>
      </c>
      <c r="F5" s="1" t="s">
        <v>6</v>
      </c>
      <c r="G5" s="20">
        <v>549.3</v>
      </c>
      <c r="H5" s="21"/>
      <c r="I5" s="21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AB5" s="1"/>
      <c r="AC5" s="1"/>
    </row>
    <row r="6">
      <c r="A6" s="5"/>
      <c r="B6" s="22" t="s">
        <v>7</v>
      </c>
      <c r="C6" s="18">
        <v>839.0</v>
      </c>
      <c r="D6" s="19">
        <v>0.49</v>
      </c>
      <c r="F6" s="23" t="s">
        <v>7</v>
      </c>
      <c r="G6" s="20">
        <v>592.06</v>
      </c>
      <c r="H6" s="21"/>
      <c r="I6" s="21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AB6" s="1"/>
      <c r="AC6" s="1"/>
    </row>
    <row r="7">
      <c r="A7" s="5"/>
      <c r="B7" s="24" t="s">
        <v>8</v>
      </c>
      <c r="C7" s="25">
        <v>1713.0</v>
      </c>
      <c r="D7" s="26"/>
      <c r="F7" s="23" t="s">
        <v>9</v>
      </c>
      <c r="G7" s="20">
        <v>45.0</v>
      </c>
      <c r="H7" s="21"/>
      <c r="I7" s="21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AB7" s="1"/>
      <c r="AC7" s="1"/>
    </row>
    <row r="8">
      <c r="A8" s="5"/>
      <c r="F8" s="23" t="s">
        <v>10</v>
      </c>
      <c r="G8" s="16">
        <v>0.0</v>
      </c>
      <c r="H8" s="21"/>
      <c r="I8" s="21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AB8" s="1"/>
      <c r="AC8" s="1"/>
    </row>
    <row r="9">
      <c r="A9" s="5"/>
      <c r="B9" s="5"/>
      <c r="C9" s="5"/>
      <c r="D9" s="5"/>
      <c r="F9" s="11" t="s">
        <v>11</v>
      </c>
      <c r="G9" s="27">
        <f>SUM(G5:G8)</f>
        <v>1186.36</v>
      </c>
      <c r="H9" s="1"/>
      <c r="I9" s="21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AB9" s="1"/>
      <c r="AC9" s="1"/>
    </row>
    <row r="10">
      <c r="B10" s="28"/>
      <c r="C10" s="1"/>
      <c r="F10" s="21"/>
      <c r="G10" s="21"/>
      <c r="H10" s="29"/>
      <c r="I10" s="30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AB10" s="1"/>
      <c r="AC10" s="1"/>
    </row>
    <row r="11">
      <c r="Y11" s="11"/>
      <c r="Z11" s="31" t="s">
        <v>12</v>
      </c>
    </row>
    <row r="12">
      <c r="B12" s="32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4"/>
      <c r="Y12" s="35"/>
      <c r="Z12" s="36" t="s">
        <v>13</v>
      </c>
      <c r="AA12" s="37" t="s">
        <v>14</v>
      </c>
      <c r="AB12" s="38" t="s">
        <v>15</v>
      </c>
      <c r="AC12" s="39"/>
      <c r="AD12" s="39"/>
      <c r="AE12" s="39"/>
      <c r="AF12" s="39"/>
      <c r="AG12" s="39"/>
      <c r="AH12" s="38"/>
      <c r="AI12" s="38"/>
      <c r="AJ12" s="37" t="s">
        <v>16</v>
      </c>
      <c r="AK12" s="38" t="s">
        <v>15</v>
      </c>
      <c r="AL12" s="39"/>
      <c r="AM12" s="39"/>
      <c r="AN12" s="39"/>
      <c r="AO12" s="39"/>
      <c r="AP12" s="39"/>
      <c r="AQ12" s="39"/>
      <c r="AR12" s="40"/>
    </row>
    <row r="13">
      <c r="B13" s="41"/>
      <c r="C13" s="5"/>
      <c r="D13" s="42" t="s">
        <v>17</v>
      </c>
      <c r="E13" s="43"/>
      <c r="F13" s="43"/>
      <c r="G13" s="43"/>
      <c r="H13" s="4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1"/>
      <c r="V13" s="1"/>
      <c r="W13" s="1"/>
      <c r="X13" s="44"/>
      <c r="Y13" s="45"/>
      <c r="Z13" s="46"/>
      <c r="AA13" s="47"/>
      <c r="AJ13" s="47"/>
      <c r="AR13" s="48"/>
    </row>
    <row r="14">
      <c r="B14" s="49"/>
      <c r="C14" s="5"/>
      <c r="D14" s="50" t="s">
        <v>18</v>
      </c>
      <c r="E14" s="51"/>
      <c r="F14" s="51"/>
      <c r="G14" s="51"/>
      <c r="H14" s="51"/>
      <c r="I14" s="51"/>
      <c r="J14" s="52"/>
      <c r="K14" s="53"/>
      <c r="L14" s="54"/>
      <c r="M14" s="55"/>
      <c r="N14" s="50" t="s">
        <v>19</v>
      </c>
      <c r="O14" s="51"/>
      <c r="P14" s="51"/>
      <c r="Q14" s="51"/>
      <c r="R14" s="51"/>
      <c r="S14" s="51"/>
      <c r="T14" s="56"/>
      <c r="U14" s="57"/>
      <c r="V14" s="57"/>
      <c r="W14" s="58"/>
      <c r="X14" s="44"/>
      <c r="Y14" s="1"/>
      <c r="Z14" s="46"/>
      <c r="AA14" s="59" t="s">
        <v>20</v>
      </c>
      <c r="AJ14" s="59" t="s">
        <v>20</v>
      </c>
      <c r="AR14" s="48"/>
    </row>
    <row r="15">
      <c r="B15" s="41"/>
      <c r="C15" s="5"/>
      <c r="D15" s="60" t="s">
        <v>21</v>
      </c>
      <c r="E15" s="61"/>
      <c r="F15" s="62" t="s">
        <v>22</v>
      </c>
      <c r="G15" s="62"/>
      <c r="H15" s="63" t="s">
        <v>23</v>
      </c>
      <c r="I15" s="64"/>
      <c r="J15" s="65" t="s">
        <v>24</v>
      </c>
      <c r="K15" s="66"/>
      <c r="L15" s="67" t="s">
        <v>25</v>
      </c>
      <c r="M15" s="68"/>
      <c r="N15" s="62" t="s">
        <v>21</v>
      </c>
      <c r="O15" s="61"/>
      <c r="P15" s="62" t="s">
        <v>22</v>
      </c>
      <c r="Q15" s="69"/>
      <c r="R15" s="62" t="s">
        <v>23</v>
      </c>
      <c r="S15" s="69"/>
      <c r="T15" s="66" t="s">
        <v>24</v>
      </c>
      <c r="U15" s="70"/>
      <c r="V15" s="67" t="s">
        <v>25</v>
      </c>
      <c r="W15" s="68"/>
      <c r="X15" s="71"/>
      <c r="Y15" s="27"/>
      <c r="Z15" s="72" t="s">
        <v>26</v>
      </c>
      <c r="AA15" s="73" t="s">
        <v>27</v>
      </c>
      <c r="AB15" s="62" t="s">
        <v>22</v>
      </c>
      <c r="AC15" s="74"/>
      <c r="AD15" s="62" t="s">
        <v>23</v>
      </c>
      <c r="AE15" s="75"/>
      <c r="AF15" s="76" t="s">
        <v>24</v>
      </c>
      <c r="AG15" s="76"/>
      <c r="AH15" s="77" t="s">
        <v>25</v>
      </c>
      <c r="AI15" s="78"/>
      <c r="AJ15" s="73" t="s">
        <v>27</v>
      </c>
      <c r="AK15" s="79" t="s">
        <v>28</v>
      </c>
      <c r="AL15" s="74"/>
      <c r="AM15" s="79" t="s">
        <v>29</v>
      </c>
      <c r="AN15" s="75"/>
      <c r="AO15" s="78" t="s">
        <v>30</v>
      </c>
      <c r="AP15" s="66"/>
      <c r="AQ15" s="77" t="s">
        <v>31</v>
      </c>
      <c r="AR15" s="80"/>
    </row>
    <row r="16">
      <c r="B16" s="81" t="s">
        <v>32</v>
      </c>
      <c r="C16" s="82"/>
      <c r="D16" s="83">
        <f>G9*3</f>
        <v>3559.08</v>
      </c>
      <c r="E16" s="84" t="s">
        <v>33</v>
      </c>
      <c r="F16" s="27">
        <f>G9*3</f>
        <v>3559.08</v>
      </c>
      <c r="G16" s="84" t="s">
        <v>33</v>
      </c>
      <c r="H16" s="27">
        <f>G9*5</f>
        <v>5931.8</v>
      </c>
      <c r="I16" s="20" t="s">
        <v>34</v>
      </c>
      <c r="J16" s="85">
        <f>G9*10</f>
        <v>11863.6</v>
      </c>
      <c r="K16" s="20" t="s">
        <v>35</v>
      </c>
      <c r="L16" s="86">
        <f>G9*15</f>
        <v>17795.4</v>
      </c>
      <c r="M16" s="87" t="s">
        <v>36</v>
      </c>
      <c r="N16" s="27">
        <f>3633*55%</f>
        <v>1998.15</v>
      </c>
      <c r="O16" s="84" t="s">
        <v>33</v>
      </c>
      <c r="P16" s="27">
        <f>3633*55%</f>
        <v>1998.15</v>
      </c>
      <c r="Q16" s="84" t="s">
        <v>33</v>
      </c>
      <c r="R16" s="27">
        <f>6055*55%</f>
        <v>3330.25</v>
      </c>
      <c r="S16" s="84" t="s">
        <v>34</v>
      </c>
      <c r="T16" s="27">
        <f>12110*55%</f>
        <v>6660.5</v>
      </c>
      <c r="U16" s="88" t="s">
        <v>35</v>
      </c>
      <c r="V16" s="86">
        <f>17795.4*55%</f>
        <v>9787.47</v>
      </c>
      <c r="W16" s="87" t="s">
        <v>36</v>
      </c>
      <c r="X16" s="71"/>
      <c r="Y16" s="89"/>
      <c r="Z16" s="46"/>
      <c r="AA16" s="47"/>
      <c r="AB16" s="3" t="s">
        <v>37</v>
      </c>
      <c r="AC16" s="90" t="s">
        <v>38</v>
      </c>
      <c r="AD16" s="3" t="s">
        <v>39</v>
      </c>
      <c r="AE16" s="90" t="s">
        <v>38</v>
      </c>
      <c r="AF16" s="3" t="s">
        <v>40</v>
      </c>
      <c r="AG16" s="3" t="s">
        <v>38</v>
      </c>
      <c r="AH16" s="91" t="s">
        <v>40</v>
      </c>
      <c r="AI16" s="3" t="s">
        <v>38</v>
      </c>
      <c r="AJ16" s="47"/>
      <c r="AK16" s="3" t="s">
        <v>37</v>
      </c>
      <c r="AL16" s="90" t="s">
        <v>38</v>
      </c>
      <c r="AM16" s="3" t="s">
        <v>39</v>
      </c>
      <c r="AN16" s="90" t="s">
        <v>38</v>
      </c>
      <c r="AO16" s="3" t="s">
        <v>40</v>
      </c>
      <c r="AP16" s="3" t="s">
        <v>38</v>
      </c>
      <c r="AQ16" s="91" t="s">
        <v>40</v>
      </c>
      <c r="AR16" s="92" t="s">
        <v>38</v>
      </c>
    </row>
    <row r="17">
      <c r="B17" s="81" t="s">
        <v>41</v>
      </c>
      <c r="C17" s="82"/>
      <c r="D17" s="93">
        <v>1250.0</v>
      </c>
      <c r="E17" s="84" t="s">
        <v>42</v>
      </c>
      <c r="F17" s="20">
        <v>1250.0</v>
      </c>
      <c r="G17" s="84" t="s">
        <v>42</v>
      </c>
      <c r="H17" s="20">
        <v>2500.0</v>
      </c>
      <c r="I17" s="20" t="s">
        <v>43</v>
      </c>
      <c r="J17" s="94">
        <v>3750.0</v>
      </c>
      <c r="K17" s="20" t="s">
        <v>33</v>
      </c>
      <c r="L17" s="94">
        <v>3750.0</v>
      </c>
      <c r="M17" s="87" t="s">
        <v>33</v>
      </c>
      <c r="N17" s="20">
        <v>1250.0</v>
      </c>
      <c r="O17" s="84" t="s">
        <v>42</v>
      </c>
      <c r="P17" s="20">
        <v>1250.0</v>
      </c>
      <c r="Q17" s="84" t="s">
        <v>42</v>
      </c>
      <c r="R17" s="20">
        <v>2500.0</v>
      </c>
      <c r="S17" s="84" t="s">
        <v>43</v>
      </c>
      <c r="T17" s="20">
        <v>3750.0</v>
      </c>
      <c r="U17" s="88" t="s">
        <v>33</v>
      </c>
      <c r="V17" s="94">
        <v>3750.0</v>
      </c>
      <c r="W17" s="87" t="s">
        <v>33</v>
      </c>
      <c r="X17" s="71"/>
      <c r="Y17" s="95"/>
      <c r="Z17" s="46"/>
      <c r="AA17" s="47"/>
      <c r="AB17" s="3" t="s">
        <v>44</v>
      </c>
      <c r="AC17" s="96"/>
      <c r="AD17" s="3" t="s">
        <v>44</v>
      </c>
      <c r="AE17" s="96"/>
      <c r="AF17" s="3" t="s">
        <v>44</v>
      </c>
      <c r="AH17" s="97"/>
      <c r="AJ17" s="47"/>
      <c r="AK17" s="3" t="s">
        <v>44</v>
      </c>
      <c r="AL17" s="96"/>
      <c r="AM17" s="3" t="s">
        <v>44</v>
      </c>
      <c r="AN17" s="96"/>
      <c r="AO17" s="3" t="s">
        <v>44</v>
      </c>
      <c r="AQ17" s="97"/>
      <c r="AR17" s="48"/>
    </row>
    <row r="18">
      <c r="B18" s="98" t="s">
        <v>45</v>
      </c>
      <c r="C18" s="82"/>
      <c r="D18" s="83">
        <v>0.0</v>
      </c>
      <c r="E18" s="84" t="s">
        <v>46</v>
      </c>
      <c r="F18" s="20">
        <v>178.57</v>
      </c>
      <c r="G18" s="84" t="s">
        <v>42</v>
      </c>
      <c r="H18" s="20">
        <f>178.57*2</f>
        <v>357.14</v>
      </c>
      <c r="I18" s="20" t="s">
        <v>43</v>
      </c>
      <c r="J18" s="94">
        <f>178.57*3</f>
        <v>535.71</v>
      </c>
      <c r="K18" s="20" t="s">
        <v>33</v>
      </c>
      <c r="L18" s="94">
        <f>178.57*3</f>
        <v>535.71</v>
      </c>
      <c r="M18" s="87" t="s">
        <v>33</v>
      </c>
      <c r="N18" s="27">
        <v>0.0</v>
      </c>
      <c r="O18" s="84" t="s">
        <v>46</v>
      </c>
      <c r="P18" s="20">
        <v>178.57</v>
      </c>
      <c r="Q18" s="84" t="s">
        <v>42</v>
      </c>
      <c r="R18" s="20">
        <f>178.57*2</f>
        <v>357.14</v>
      </c>
      <c r="S18" s="84" t="s">
        <v>43</v>
      </c>
      <c r="T18" s="20">
        <f>178.57*3</f>
        <v>535.71</v>
      </c>
      <c r="U18" s="88" t="s">
        <v>33</v>
      </c>
      <c r="V18" s="94">
        <f>178.57*3</f>
        <v>535.71</v>
      </c>
      <c r="W18" s="87" t="s">
        <v>33</v>
      </c>
      <c r="X18" s="71"/>
      <c r="Z18" s="46"/>
      <c r="AA18" s="47"/>
      <c r="AC18" s="96"/>
      <c r="AE18" s="96"/>
      <c r="AH18" s="97"/>
      <c r="AJ18" s="47"/>
      <c r="AL18" s="96"/>
      <c r="AN18" s="96"/>
      <c r="AQ18" s="97"/>
      <c r="AR18" s="48"/>
    </row>
    <row r="19">
      <c r="B19" s="99" t="s">
        <v>47</v>
      </c>
      <c r="C19" s="5"/>
      <c r="D19" s="100" t="s">
        <v>48</v>
      </c>
      <c r="E19" s="101"/>
      <c r="F19" s="1" t="s">
        <v>48</v>
      </c>
      <c r="G19" s="101"/>
      <c r="H19" s="1" t="s">
        <v>48</v>
      </c>
      <c r="I19" s="1"/>
      <c r="J19" s="102" t="s">
        <v>48</v>
      </c>
      <c r="K19" s="1"/>
      <c r="L19" s="102" t="s">
        <v>48</v>
      </c>
      <c r="M19" s="103"/>
      <c r="N19" s="1" t="s">
        <v>48</v>
      </c>
      <c r="O19" s="101"/>
      <c r="P19" s="1" t="s">
        <v>48</v>
      </c>
      <c r="Q19" s="101"/>
      <c r="R19" s="1" t="s">
        <v>48</v>
      </c>
      <c r="S19" s="101"/>
      <c r="T19" s="1" t="s">
        <v>48</v>
      </c>
      <c r="U19" s="104"/>
      <c r="V19" s="102" t="s">
        <v>48</v>
      </c>
      <c r="W19" s="103"/>
      <c r="X19" s="71"/>
      <c r="Z19" s="46"/>
      <c r="AA19" s="47"/>
      <c r="AC19" s="96"/>
      <c r="AE19" s="96"/>
      <c r="AH19" s="97"/>
      <c r="AJ19" s="47"/>
      <c r="AL19" s="96"/>
      <c r="AN19" s="96"/>
      <c r="AQ19" s="97"/>
      <c r="AR19" s="48"/>
    </row>
    <row r="20">
      <c r="B20" s="99" t="s">
        <v>49</v>
      </c>
      <c r="C20" s="5"/>
      <c r="D20" s="100" t="s">
        <v>48</v>
      </c>
      <c r="E20" s="101"/>
      <c r="F20" s="1" t="s">
        <v>48</v>
      </c>
      <c r="G20" s="101"/>
      <c r="H20" s="1" t="s">
        <v>48</v>
      </c>
      <c r="I20" s="1"/>
      <c r="J20" s="102" t="s">
        <v>48</v>
      </c>
      <c r="K20" s="1"/>
      <c r="L20" s="102" t="s">
        <v>48</v>
      </c>
      <c r="M20" s="103"/>
      <c r="N20" s="1" t="s">
        <v>48</v>
      </c>
      <c r="O20" s="101"/>
      <c r="P20" s="1" t="s">
        <v>48</v>
      </c>
      <c r="Q20" s="101"/>
      <c r="R20" s="1" t="s">
        <v>48</v>
      </c>
      <c r="S20" s="101"/>
      <c r="T20" s="1" t="s">
        <v>48</v>
      </c>
      <c r="U20" s="104"/>
      <c r="V20" s="102" t="s">
        <v>48</v>
      </c>
      <c r="W20" s="103"/>
      <c r="X20" s="71"/>
      <c r="Z20" s="46"/>
      <c r="AA20" s="47"/>
      <c r="AC20" s="96"/>
      <c r="AE20" s="96"/>
      <c r="AH20" s="97"/>
      <c r="AJ20" s="47"/>
      <c r="AL20" s="96"/>
      <c r="AN20" s="96"/>
      <c r="AQ20" s="97"/>
      <c r="AR20" s="48"/>
    </row>
    <row r="21">
      <c r="B21" s="99" t="s">
        <v>50</v>
      </c>
      <c r="C21" s="5"/>
      <c r="D21" s="100" t="s">
        <v>51</v>
      </c>
      <c r="E21" s="101"/>
      <c r="F21" s="1" t="s">
        <v>51</v>
      </c>
      <c r="G21" s="101"/>
      <c r="H21" s="1" t="s">
        <v>51</v>
      </c>
      <c r="I21" s="1"/>
      <c r="J21" s="102" t="s">
        <v>51</v>
      </c>
      <c r="K21" s="1"/>
      <c r="L21" s="102" t="s">
        <v>51</v>
      </c>
      <c r="M21" s="103"/>
      <c r="N21" s="1" t="s">
        <v>51</v>
      </c>
      <c r="O21" s="101"/>
      <c r="P21" s="1" t="s">
        <v>51</v>
      </c>
      <c r="Q21" s="101"/>
      <c r="R21" s="1" t="s">
        <v>51</v>
      </c>
      <c r="S21" s="101"/>
      <c r="T21" s="1" t="s">
        <v>51</v>
      </c>
      <c r="U21" s="104"/>
      <c r="V21" s="102" t="s">
        <v>51</v>
      </c>
      <c r="W21" s="103"/>
      <c r="X21" s="71"/>
      <c r="Z21" s="46"/>
      <c r="AA21" s="47"/>
      <c r="AC21" s="96"/>
      <c r="AE21" s="96"/>
      <c r="AH21" s="97"/>
      <c r="AJ21" s="47"/>
      <c r="AL21" s="96"/>
      <c r="AN21" s="96"/>
      <c r="AQ21" s="97"/>
      <c r="AR21" s="48"/>
    </row>
    <row r="22">
      <c r="B22" s="105" t="s">
        <v>52</v>
      </c>
      <c r="C22" s="5"/>
      <c r="D22" s="106" t="s">
        <v>53</v>
      </c>
      <c r="E22" s="101"/>
      <c r="F22" s="23" t="s">
        <v>53</v>
      </c>
      <c r="G22" s="101"/>
      <c r="H22" s="1" t="s">
        <v>51</v>
      </c>
      <c r="I22" s="1"/>
      <c r="J22" s="102" t="s">
        <v>51</v>
      </c>
      <c r="K22" s="23"/>
      <c r="L22" s="102" t="s">
        <v>51</v>
      </c>
      <c r="M22" s="107"/>
      <c r="N22" s="23" t="s">
        <v>51</v>
      </c>
      <c r="O22" s="101"/>
      <c r="P22" s="1" t="s">
        <v>51</v>
      </c>
      <c r="Q22" s="101"/>
      <c r="R22" s="1" t="s">
        <v>51</v>
      </c>
      <c r="S22" s="101"/>
      <c r="T22" s="1" t="s">
        <v>51</v>
      </c>
      <c r="U22" s="104"/>
      <c r="V22" s="102" t="s">
        <v>51</v>
      </c>
      <c r="W22" s="107"/>
      <c r="X22" s="71"/>
      <c r="Z22" s="46"/>
      <c r="AA22" s="47"/>
      <c r="AC22" s="96"/>
      <c r="AE22" s="96"/>
      <c r="AH22" s="97"/>
      <c r="AJ22" s="47"/>
      <c r="AL22" s="96"/>
      <c r="AN22" s="96"/>
      <c r="AQ22" s="108"/>
      <c r="AR22" s="109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>
      <c r="B23" s="81" t="s">
        <v>54</v>
      </c>
      <c r="C23" s="82"/>
      <c r="D23" s="110" t="s">
        <v>51</v>
      </c>
      <c r="E23" s="111"/>
      <c r="F23" s="21" t="s">
        <v>51</v>
      </c>
      <c r="G23" s="111"/>
      <c r="H23" s="21" t="s">
        <v>51</v>
      </c>
      <c r="I23" s="21"/>
      <c r="J23" s="112" t="s">
        <v>51</v>
      </c>
      <c r="K23" s="21"/>
      <c r="L23" s="112" t="s">
        <v>51</v>
      </c>
      <c r="M23" s="113"/>
      <c r="N23" s="21" t="s">
        <v>51</v>
      </c>
      <c r="O23" s="111"/>
      <c r="P23" s="21" t="s">
        <v>51</v>
      </c>
      <c r="Q23" s="111"/>
      <c r="R23" s="21" t="s">
        <v>51</v>
      </c>
      <c r="S23" s="111"/>
      <c r="T23" s="21" t="s">
        <v>51</v>
      </c>
      <c r="U23" s="104"/>
      <c r="V23" s="112" t="s">
        <v>51</v>
      </c>
      <c r="W23" s="113"/>
      <c r="X23" s="71"/>
      <c r="Y23" s="2"/>
      <c r="Z23" s="46"/>
      <c r="AA23" s="47"/>
      <c r="AC23" s="96"/>
      <c r="AE23" s="96"/>
      <c r="AH23" s="97"/>
      <c r="AJ23" s="47"/>
      <c r="AL23" s="96"/>
      <c r="AN23" s="96"/>
      <c r="AQ23" s="97"/>
      <c r="AR23" s="48"/>
      <c r="AS23" s="5"/>
      <c r="AT23" s="5"/>
      <c r="AU23" s="5"/>
      <c r="AV23" s="5"/>
      <c r="AW23" s="5"/>
      <c r="AX23" s="1"/>
      <c r="AY23" s="1"/>
      <c r="AZ23" s="1"/>
      <c r="BA23" s="1"/>
      <c r="BB23" s="1"/>
      <c r="BC23" s="1"/>
      <c r="BD23" s="1"/>
      <c r="BE23" s="1"/>
    </row>
    <row r="24">
      <c r="B24" s="114" t="s">
        <v>55</v>
      </c>
      <c r="C24" s="115"/>
      <c r="D24" s="116" t="s">
        <v>46</v>
      </c>
      <c r="E24" s="117"/>
      <c r="F24" s="118" t="s">
        <v>56</v>
      </c>
      <c r="G24" s="117"/>
      <c r="H24" s="118" t="s">
        <v>57</v>
      </c>
      <c r="I24" s="118"/>
      <c r="J24" s="119" t="s">
        <v>58</v>
      </c>
      <c r="K24" s="118"/>
      <c r="L24" s="119" t="s">
        <v>58</v>
      </c>
      <c r="M24" s="120"/>
      <c r="N24" s="121" t="s">
        <v>46</v>
      </c>
      <c r="O24" s="122"/>
      <c r="P24" s="121" t="s">
        <v>56</v>
      </c>
      <c r="Q24" s="122"/>
      <c r="R24" s="121" t="s">
        <v>57</v>
      </c>
      <c r="S24" s="115"/>
      <c r="T24" s="123" t="s">
        <v>58</v>
      </c>
      <c r="U24" s="124"/>
      <c r="V24" s="119" t="s">
        <v>58</v>
      </c>
      <c r="W24" s="120"/>
      <c r="X24" s="71"/>
      <c r="Y24" s="27"/>
      <c r="Z24" s="125" t="s">
        <v>55</v>
      </c>
      <c r="AA24" s="126">
        <v>26250.0</v>
      </c>
      <c r="AB24" s="127">
        <v>21000.0</v>
      </c>
      <c r="AC24" s="128">
        <v>15014.29</v>
      </c>
      <c r="AD24" s="129">
        <v>19688.0</v>
      </c>
      <c r="AE24" s="128">
        <f t="shared" ref="AE24:AE25" si="1">AD24-1785.71</f>
        <v>17902.29</v>
      </c>
      <c r="AF24" s="129">
        <v>18375.0</v>
      </c>
      <c r="AG24" s="129">
        <f t="shared" ref="AG24:AG25" si="2">AF24-1785.71</f>
        <v>16589.29</v>
      </c>
      <c r="AH24" s="127">
        <v>18375.0</v>
      </c>
      <c r="AI24" s="129">
        <f t="shared" ref="AI24:AI25" si="3">AH24-1785.71</f>
        <v>16589.29</v>
      </c>
      <c r="AJ24" s="126">
        <v>18750.0</v>
      </c>
      <c r="AK24" s="127">
        <v>15000.0</v>
      </c>
      <c r="AL24" s="129">
        <v>13214.29</v>
      </c>
      <c r="AM24" s="127">
        <v>14063.0</v>
      </c>
      <c r="AN24" s="128">
        <v>12277.29</v>
      </c>
      <c r="AO24" s="127">
        <v>13125.0</v>
      </c>
      <c r="AP24" s="129">
        <v>11339.29</v>
      </c>
      <c r="AQ24" s="127">
        <v>13125.0</v>
      </c>
      <c r="AR24" s="130">
        <v>11339.29</v>
      </c>
      <c r="AS24" s="27"/>
      <c r="AT24" s="27"/>
      <c r="AU24" s="27"/>
      <c r="AV24" s="27"/>
      <c r="AW24" s="27"/>
    </row>
    <row r="25">
      <c r="B25" s="131" t="s">
        <v>59</v>
      </c>
      <c r="C25" s="115"/>
      <c r="D25" s="116" t="s">
        <v>46</v>
      </c>
      <c r="E25" s="117"/>
      <c r="F25" s="118" t="s">
        <v>56</v>
      </c>
      <c r="G25" s="117"/>
      <c r="H25" s="118" t="s">
        <v>57</v>
      </c>
      <c r="I25" s="118"/>
      <c r="J25" s="119" t="s">
        <v>58</v>
      </c>
      <c r="K25" s="118"/>
      <c r="L25" s="119" t="s">
        <v>58</v>
      </c>
      <c r="M25" s="120"/>
      <c r="N25" s="121" t="s">
        <v>46</v>
      </c>
      <c r="O25" s="122"/>
      <c r="P25" s="121" t="s">
        <v>56</v>
      </c>
      <c r="Q25" s="122"/>
      <c r="R25" s="121" t="s">
        <v>57</v>
      </c>
      <c r="S25" s="115"/>
      <c r="T25" s="123" t="s">
        <v>58</v>
      </c>
      <c r="U25" s="124"/>
      <c r="V25" s="119" t="s">
        <v>58</v>
      </c>
      <c r="W25" s="120"/>
      <c r="X25" s="71"/>
      <c r="Z25" s="132" t="s">
        <v>59</v>
      </c>
      <c r="AA25" s="126">
        <v>52500.0</v>
      </c>
      <c r="AB25" s="133">
        <v>42000.0</v>
      </c>
      <c r="AC25" s="134">
        <v>31814.29</v>
      </c>
      <c r="AD25" s="135">
        <v>39375.0</v>
      </c>
      <c r="AE25" s="134">
        <f t="shared" si="1"/>
        <v>37589.29</v>
      </c>
      <c r="AF25" s="135">
        <v>36750.0</v>
      </c>
      <c r="AG25" s="135">
        <f t="shared" si="2"/>
        <v>34964.29</v>
      </c>
      <c r="AH25" s="133">
        <v>36750.0</v>
      </c>
      <c r="AI25" s="135">
        <f t="shared" si="3"/>
        <v>34964.29</v>
      </c>
      <c r="AJ25" s="126">
        <v>37500.0</v>
      </c>
      <c r="AK25" s="133">
        <v>30000.0</v>
      </c>
      <c r="AL25" s="135">
        <v>28214.29</v>
      </c>
      <c r="AM25" s="133">
        <v>28125.0</v>
      </c>
      <c r="AN25" s="134">
        <v>26339.29</v>
      </c>
      <c r="AO25" s="133">
        <v>26250.0</v>
      </c>
      <c r="AP25" s="135">
        <v>24464.29</v>
      </c>
      <c r="AQ25" s="133">
        <v>26250.0</v>
      </c>
      <c r="AR25" s="136">
        <v>24464.29</v>
      </c>
      <c r="AS25" s="20"/>
      <c r="AT25" s="10"/>
      <c r="AU25" s="10"/>
      <c r="AV25" s="10"/>
      <c r="AW25" s="10"/>
    </row>
    <row r="26">
      <c r="B26" s="132" t="s">
        <v>60</v>
      </c>
      <c r="C26" s="115"/>
      <c r="D26" s="116" t="s">
        <v>46</v>
      </c>
      <c r="E26" s="117"/>
      <c r="F26" s="118" t="s">
        <v>56</v>
      </c>
      <c r="G26" s="117"/>
      <c r="H26" s="118" t="s">
        <v>57</v>
      </c>
      <c r="I26" s="118"/>
      <c r="J26" s="119" t="s">
        <v>58</v>
      </c>
      <c r="K26" s="118"/>
      <c r="L26" s="119" t="s">
        <v>58</v>
      </c>
      <c r="M26" s="120"/>
      <c r="N26" s="121" t="s">
        <v>46</v>
      </c>
      <c r="O26" s="122"/>
      <c r="P26" s="121" t="s">
        <v>56</v>
      </c>
      <c r="Q26" s="122"/>
      <c r="R26" s="121" t="s">
        <v>57</v>
      </c>
      <c r="S26" s="115"/>
      <c r="T26" s="123" t="s">
        <v>58</v>
      </c>
      <c r="U26" s="124"/>
      <c r="V26" s="119" t="s">
        <v>58</v>
      </c>
      <c r="W26" s="120"/>
      <c r="X26" s="71"/>
      <c r="Z26" s="132" t="s">
        <v>60</v>
      </c>
      <c r="AA26" s="137">
        <v>23750.0</v>
      </c>
      <c r="AB26" s="138">
        <v>19000.0</v>
      </c>
      <c r="AC26" s="139">
        <v>18643.0</v>
      </c>
      <c r="AD26" s="140">
        <v>17813.0</v>
      </c>
      <c r="AE26" s="141">
        <f t="shared" ref="AE26:AE29" si="4">AD26-357</f>
        <v>17456</v>
      </c>
      <c r="AF26" s="140">
        <v>16625.0</v>
      </c>
      <c r="AG26" s="142">
        <f t="shared" ref="AG26:AG29" si="5">AF26-357</f>
        <v>16268</v>
      </c>
      <c r="AH26" s="138">
        <v>16625.0</v>
      </c>
      <c r="AI26" s="142">
        <f t="shared" ref="AI26:AI29" si="6">AH26-357</f>
        <v>16268</v>
      </c>
      <c r="AJ26" s="143">
        <v>16250.0</v>
      </c>
      <c r="AK26" s="140">
        <v>13000.0</v>
      </c>
      <c r="AL26" s="135">
        <v>12643.0</v>
      </c>
      <c r="AM26" s="144">
        <v>12188.0</v>
      </c>
      <c r="AN26" s="135">
        <v>11831.0</v>
      </c>
      <c r="AO26" s="144">
        <v>11375.0</v>
      </c>
      <c r="AP26" s="145">
        <v>11018.0</v>
      </c>
      <c r="AQ26" s="144">
        <v>11375.0</v>
      </c>
      <c r="AR26" s="146">
        <v>11018.0</v>
      </c>
      <c r="AS26" s="20"/>
      <c r="AT26" s="10"/>
      <c r="AU26" s="10"/>
      <c r="AV26" s="10"/>
      <c r="AW26" s="10"/>
    </row>
    <row r="27">
      <c r="B27" s="132" t="s">
        <v>61</v>
      </c>
      <c r="C27" s="115"/>
      <c r="D27" s="116" t="s">
        <v>46</v>
      </c>
      <c r="E27" s="117"/>
      <c r="F27" s="118" t="s">
        <v>56</v>
      </c>
      <c r="G27" s="117"/>
      <c r="H27" s="118" t="s">
        <v>57</v>
      </c>
      <c r="I27" s="118"/>
      <c r="J27" s="119" t="s">
        <v>58</v>
      </c>
      <c r="K27" s="118"/>
      <c r="L27" s="119" t="s">
        <v>58</v>
      </c>
      <c r="M27" s="120"/>
      <c r="N27" s="121" t="s">
        <v>46</v>
      </c>
      <c r="O27" s="122"/>
      <c r="P27" s="121" t="s">
        <v>56</v>
      </c>
      <c r="Q27" s="122"/>
      <c r="R27" s="121" t="s">
        <v>57</v>
      </c>
      <c r="S27" s="115"/>
      <c r="T27" s="123" t="s">
        <v>58</v>
      </c>
      <c r="U27" s="124"/>
      <c r="V27" s="119" t="s">
        <v>58</v>
      </c>
      <c r="W27" s="120"/>
      <c r="X27" s="71"/>
      <c r="Z27" s="132" t="s">
        <v>61</v>
      </c>
      <c r="AA27" s="137">
        <v>47500.0</v>
      </c>
      <c r="AB27" s="144">
        <v>38000.0</v>
      </c>
      <c r="AC27" s="139">
        <f t="shared" ref="AC27:AC29" si="7">AB27-357</f>
        <v>37643</v>
      </c>
      <c r="AD27" s="140">
        <v>35625.0</v>
      </c>
      <c r="AE27" s="141">
        <f t="shared" si="4"/>
        <v>35268</v>
      </c>
      <c r="AF27" s="140">
        <v>33250.0</v>
      </c>
      <c r="AG27" s="142">
        <f t="shared" si="5"/>
        <v>32893</v>
      </c>
      <c r="AH27" s="138">
        <v>33250.0</v>
      </c>
      <c r="AI27" s="142">
        <f t="shared" si="6"/>
        <v>32893</v>
      </c>
      <c r="AJ27" s="143">
        <v>32500.0</v>
      </c>
      <c r="AK27" s="145">
        <v>26000.0</v>
      </c>
      <c r="AL27" s="135">
        <v>25643.0</v>
      </c>
      <c r="AM27" s="144">
        <v>24375.0</v>
      </c>
      <c r="AN27" s="135">
        <v>24018.0</v>
      </c>
      <c r="AO27" s="144">
        <v>22750.0</v>
      </c>
      <c r="AP27" s="145">
        <v>22393.0</v>
      </c>
      <c r="AQ27" s="144">
        <v>22750.0</v>
      </c>
      <c r="AR27" s="146">
        <v>22393.0</v>
      </c>
      <c r="AS27" s="20"/>
      <c r="AT27" s="10"/>
      <c r="AU27" s="10"/>
      <c r="AV27" s="10"/>
      <c r="AW27" s="10"/>
    </row>
    <row r="28">
      <c r="B28" s="132" t="s">
        <v>62</v>
      </c>
      <c r="C28" s="115"/>
      <c r="D28" s="116" t="s">
        <v>46</v>
      </c>
      <c r="E28" s="117"/>
      <c r="F28" s="118" t="s">
        <v>56</v>
      </c>
      <c r="G28" s="117"/>
      <c r="H28" s="118" t="s">
        <v>57</v>
      </c>
      <c r="I28" s="118"/>
      <c r="J28" s="119" t="s">
        <v>58</v>
      </c>
      <c r="K28" s="118"/>
      <c r="L28" s="119" t="s">
        <v>58</v>
      </c>
      <c r="M28" s="120"/>
      <c r="N28" s="121" t="s">
        <v>46</v>
      </c>
      <c r="O28" s="122"/>
      <c r="P28" s="121" t="s">
        <v>56</v>
      </c>
      <c r="Q28" s="122"/>
      <c r="R28" s="121" t="s">
        <v>57</v>
      </c>
      <c r="S28" s="115"/>
      <c r="T28" s="123" t="s">
        <v>58</v>
      </c>
      <c r="U28" s="124"/>
      <c r="V28" s="119" t="s">
        <v>58</v>
      </c>
      <c r="W28" s="120"/>
      <c r="X28" s="71"/>
      <c r="Z28" s="132" t="s">
        <v>62</v>
      </c>
      <c r="AA28" s="137">
        <v>20000.0</v>
      </c>
      <c r="AB28" s="138">
        <v>16000.0</v>
      </c>
      <c r="AC28" s="139">
        <f t="shared" si="7"/>
        <v>15643</v>
      </c>
      <c r="AD28" s="140">
        <v>15000.0</v>
      </c>
      <c r="AE28" s="141">
        <f t="shared" si="4"/>
        <v>14643</v>
      </c>
      <c r="AF28" s="140">
        <v>14000.0</v>
      </c>
      <c r="AG28" s="142">
        <f t="shared" si="5"/>
        <v>13643</v>
      </c>
      <c r="AH28" s="138">
        <v>14000.0</v>
      </c>
      <c r="AI28" s="142">
        <f t="shared" si="6"/>
        <v>13643</v>
      </c>
      <c r="AJ28" s="143">
        <v>12500.0</v>
      </c>
      <c r="AK28" s="140">
        <v>10000.0</v>
      </c>
      <c r="AL28" s="135">
        <v>9643.0</v>
      </c>
      <c r="AM28" s="144">
        <v>9375.0</v>
      </c>
      <c r="AN28" s="135">
        <v>9018.0</v>
      </c>
      <c r="AO28" s="144">
        <v>8750.0</v>
      </c>
      <c r="AP28" s="145">
        <v>8393.0</v>
      </c>
      <c r="AQ28" s="144">
        <v>8750.0</v>
      </c>
      <c r="AR28" s="146">
        <v>8393.0</v>
      </c>
      <c r="AS28" s="20"/>
      <c r="AT28" s="10"/>
      <c r="AU28" s="10"/>
      <c r="AV28" s="10"/>
      <c r="AW28" s="10"/>
    </row>
    <row r="29">
      <c r="B29" s="132" t="s">
        <v>63</v>
      </c>
      <c r="C29" s="115"/>
      <c r="D29" s="116" t="s">
        <v>46</v>
      </c>
      <c r="E29" s="117"/>
      <c r="F29" s="118" t="s">
        <v>56</v>
      </c>
      <c r="G29" s="117"/>
      <c r="H29" s="118" t="s">
        <v>57</v>
      </c>
      <c r="I29" s="118"/>
      <c r="J29" s="119" t="s">
        <v>58</v>
      </c>
      <c r="K29" s="118"/>
      <c r="L29" s="119" t="s">
        <v>58</v>
      </c>
      <c r="M29" s="120"/>
      <c r="N29" s="121" t="s">
        <v>46</v>
      </c>
      <c r="O29" s="122"/>
      <c r="P29" s="121" t="s">
        <v>56</v>
      </c>
      <c r="Q29" s="122"/>
      <c r="R29" s="121" t="s">
        <v>57</v>
      </c>
      <c r="S29" s="115"/>
      <c r="T29" s="123" t="s">
        <v>58</v>
      </c>
      <c r="U29" s="124"/>
      <c r="V29" s="119" t="s">
        <v>58</v>
      </c>
      <c r="W29" s="120"/>
      <c r="X29" s="71"/>
      <c r="Z29" s="132" t="s">
        <v>63</v>
      </c>
      <c r="AA29" s="137">
        <v>40000.0</v>
      </c>
      <c r="AB29" s="144">
        <v>32000.0</v>
      </c>
      <c r="AC29" s="139">
        <f t="shared" si="7"/>
        <v>31643</v>
      </c>
      <c r="AD29" s="140">
        <v>30000.0</v>
      </c>
      <c r="AE29" s="141">
        <f t="shared" si="4"/>
        <v>29643</v>
      </c>
      <c r="AF29" s="140">
        <v>28000.0</v>
      </c>
      <c r="AG29" s="142">
        <f t="shared" si="5"/>
        <v>27643</v>
      </c>
      <c r="AH29" s="138">
        <v>28000.0</v>
      </c>
      <c r="AI29" s="142">
        <f t="shared" si="6"/>
        <v>27643</v>
      </c>
      <c r="AJ29" s="143">
        <v>25000.0</v>
      </c>
      <c r="AK29" s="145">
        <v>20000.0</v>
      </c>
      <c r="AL29" s="135">
        <v>19643.0</v>
      </c>
      <c r="AM29" s="144">
        <v>18750.0</v>
      </c>
      <c r="AN29" s="135">
        <v>18393.0</v>
      </c>
      <c r="AO29" s="144">
        <v>17500.0</v>
      </c>
      <c r="AP29" s="145">
        <v>17143.0</v>
      </c>
      <c r="AQ29" s="144">
        <v>17500.0</v>
      </c>
      <c r="AR29" s="146">
        <v>17143.0</v>
      </c>
      <c r="AS29" s="20"/>
      <c r="AT29" s="10"/>
      <c r="AU29" s="10"/>
      <c r="AV29" s="10"/>
      <c r="AW29" s="10"/>
    </row>
    <row r="30">
      <c r="B30" s="131" t="s">
        <v>64</v>
      </c>
      <c r="C30" s="115"/>
      <c r="D30" s="116" t="s">
        <v>46</v>
      </c>
      <c r="E30" s="117"/>
      <c r="F30" s="118" t="s">
        <v>56</v>
      </c>
      <c r="G30" s="117"/>
      <c r="H30" s="118" t="s">
        <v>57</v>
      </c>
      <c r="I30" s="118"/>
      <c r="J30" s="119" t="s">
        <v>58</v>
      </c>
      <c r="K30" s="118"/>
      <c r="L30" s="119" t="s">
        <v>58</v>
      </c>
      <c r="M30" s="120"/>
      <c r="N30" s="121" t="s">
        <v>46</v>
      </c>
      <c r="O30" s="122"/>
      <c r="P30" s="121" t="s">
        <v>56</v>
      </c>
      <c r="Q30" s="122"/>
      <c r="R30" s="121" t="s">
        <v>57</v>
      </c>
      <c r="S30" s="115"/>
      <c r="T30" s="123" t="s">
        <v>58</v>
      </c>
      <c r="U30" s="124"/>
      <c r="V30" s="119" t="s">
        <v>58</v>
      </c>
      <c r="W30" s="120"/>
      <c r="X30" s="71"/>
      <c r="Z30" s="132" t="s">
        <v>65</v>
      </c>
      <c r="AA30" s="126">
        <v>2500.0</v>
      </c>
      <c r="AB30" s="127">
        <v>2000.0</v>
      </c>
      <c r="AC30" s="128">
        <f t="shared" ref="AC30:AC35" si="8">AB30-178.57</f>
        <v>1821.43</v>
      </c>
      <c r="AD30" s="129">
        <v>1875.0</v>
      </c>
      <c r="AE30" s="128">
        <f t="shared" ref="AE30:AE35" si="9">AD30-178.57</f>
        <v>1696.43</v>
      </c>
      <c r="AF30" s="129">
        <v>1750.0</v>
      </c>
      <c r="AG30" s="129">
        <f t="shared" ref="AG30:AG35" si="10">AF30-178.57</f>
        <v>1571.43</v>
      </c>
      <c r="AH30" s="127">
        <v>1750.0</v>
      </c>
      <c r="AI30" s="129">
        <f t="shared" ref="AI30:AI35" si="11">AH30-178.57</f>
        <v>1571.43</v>
      </c>
      <c r="AJ30" s="126">
        <v>1875.0</v>
      </c>
      <c r="AK30" s="127">
        <v>1500.0</v>
      </c>
      <c r="AL30" s="129">
        <v>1321.43</v>
      </c>
      <c r="AM30" s="127">
        <v>1406.0</v>
      </c>
      <c r="AN30" s="128">
        <v>1227.43</v>
      </c>
      <c r="AO30" s="127">
        <v>1313.0</v>
      </c>
      <c r="AP30" s="129">
        <v>1134.43</v>
      </c>
      <c r="AQ30" s="127">
        <v>1313.0</v>
      </c>
      <c r="AR30" s="130">
        <v>1134.43</v>
      </c>
      <c r="AS30" s="20"/>
      <c r="AT30" s="10"/>
      <c r="AU30" s="10"/>
      <c r="AV30" s="10"/>
      <c r="AW30" s="10"/>
    </row>
    <row r="31">
      <c r="B31" s="131" t="s">
        <v>66</v>
      </c>
      <c r="C31" s="115"/>
      <c r="D31" s="116" t="s">
        <v>46</v>
      </c>
      <c r="E31" s="117"/>
      <c r="F31" s="118" t="s">
        <v>56</v>
      </c>
      <c r="G31" s="117"/>
      <c r="H31" s="118" t="s">
        <v>57</v>
      </c>
      <c r="I31" s="118"/>
      <c r="J31" s="119" t="s">
        <v>58</v>
      </c>
      <c r="K31" s="118"/>
      <c r="L31" s="119" t="s">
        <v>58</v>
      </c>
      <c r="M31" s="120"/>
      <c r="N31" s="121" t="s">
        <v>46</v>
      </c>
      <c r="O31" s="122"/>
      <c r="P31" s="121" t="s">
        <v>56</v>
      </c>
      <c r="Q31" s="122"/>
      <c r="R31" s="121" t="s">
        <v>57</v>
      </c>
      <c r="S31" s="115"/>
      <c r="T31" s="123" t="s">
        <v>58</v>
      </c>
      <c r="U31" s="124"/>
      <c r="V31" s="119" t="s">
        <v>58</v>
      </c>
      <c r="W31" s="120"/>
      <c r="X31" s="71"/>
      <c r="Z31" s="132" t="s">
        <v>66</v>
      </c>
      <c r="AA31" s="147">
        <v>5000.0</v>
      </c>
      <c r="AB31" s="148">
        <v>4000.0</v>
      </c>
      <c r="AC31" s="134">
        <f t="shared" si="8"/>
        <v>3821.43</v>
      </c>
      <c r="AD31" s="149">
        <v>3750.0</v>
      </c>
      <c r="AE31" s="134">
        <f t="shared" si="9"/>
        <v>3571.43</v>
      </c>
      <c r="AF31" s="149">
        <v>3500.0</v>
      </c>
      <c r="AG31" s="135">
        <f t="shared" si="10"/>
        <v>3321.43</v>
      </c>
      <c r="AH31" s="150">
        <v>3500.0</v>
      </c>
      <c r="AI31" s="135">
        <f t="shared" si="11"/>
        <v>3321.43</v>
      </c>
      <c r="AJ31" s="147">
        <v>3750.0</v>
      </c>
      <c r="AK31" s="150">
        <v>3000.0</v>
      </c>
      <c r="AL31" s="149">
        <v>2821.43</v>
      </c>
      <c r="AM31" s="150">
        <v>2813.0</v>
      </c>
      <c r="AN31" s="151">
        <v>2634.43</v>
      </c>
      <c r="AO31" s="149">
        <v>2625.0</v>
      </c>
      <c r="AP31" s="149">
        <v>2446.43</v>
      </c>
      <c r="AQ31" s="150">
        <v>2625.0</v>
      </c>
      <c r="AR31" s="152">
        <v>2446.43</v>
      </c>
      <c r="AS31" s="16"/>
      <c r="AT31" s="2"/>
      <c r="AU31" s="2"/>
      <c r="AV31" s="2"/>
      <c r="AW31" s="2"/>
    </row>
    <row r="32">
      <c r="B32" s="131" t="s">
        <v>67</v>
      </c>
      <c r="C32" s="115"/>
      <c r="D32" s="116" t="s">
        <v>46</v>
      </c>
      <c r="E32" s="117"/>
      <c r="F32" s="118" t="s">
        <v>56</v>
      </c>
      <c r="G32" s="117"/>
      <c r="H32" s="118" t="s">
        <v>57</v>
      </c>
      <c r="I32" s="118"/>
      <c r="J32" s="119" t="s">
        <v>58</v>
      </c>
      <c r="K32" s="118"/>
      <c r="L32" s="119" t="s">
        <v>58</v>
      </c>
      <c r="M32" s="120"/>
      <c r="N32" s="121" t="s">
        <v>46</v>
      </c>
      <c r="O32" s="122"/>
      <c r="P32" s="121" t="s">
        <v>56</v>
      </c>
      <c r="Q32" s="122"/>
      <c r="R32" s="121" t="s">
        <v>57</v>
      </c>
      <c r="S32" s="115"/>
      <c r="T32" s="123" t="s">
        <v>58</v>
      </c>
      <c r="U32" s="124"/>
      <c r="V32" s="119" t="s">
        <v>58</v>
      </c>
      <c r="W32" s="120"/>
      <c r="X32" s="71"/>
      <c r="Z32" s="132" t="s">
        <v>67</v>
      </c>
      <c r="AA32" s="126">
        <v>2000.0</v>
      </c>
      <c r="AB32" s="133">
        <v>2000.0</v>
      </c>
      <c r="AC32" s="134">
        <f t="shared" si="8"/>
        <v>1821.43</v>
      </c>
      <c r="AD32" s="135">
        <v>1875.0</v>
      </c>
      <c r="AE32" s="134">
        <f t="shared" si="9"/>
        <v>1696.43</v>
      </c>
      <c r="AF32" s="135">
        <v>1750.0</v>
      </c>
      <c r="AG32" s="149">
        <f t="shared" si="10"/>
        <v>1571.43</v>
      </c>
      <c r="AH32" s="133">
        <v>1750.0</v>
      </c>
      <c r="AI32" s="149">
        <f t="shared" si="11"/>
        <v>1571.43</v>
      </c>
      <c r="AJ32" s="126">
        <v>1875.0</v>
      </c>
      <c r="AK32" s="133">
        <v>1500.0</v>
      </c>
      <c r="AL32" s="135">
        <v>1321.43</v>
      </c>
      <c r="AM32" s="133">
        <v>1406.0</v>
      </c>
      <c r="AN32" s="134">
        <v>1227.43</v>
      </c>
      <c r="AO32" s="135">
        <v>1313.0</v>
      </c>
      <c r="AP32" s="135">
        <v>1134.43</v>
      </c>
      <c r="AQ32" s="133">
        <v>1313.0</v>
      </c>
      <c r="AR32" s="136">
        <v>1134.43</v>
      </c>
      <c r="AS32" s="27"/>
      <c r="AT32" s="27"/>
      <c r="AU32" s="27"/>
      <c r="AV32" s="27"/>
      <c r="AW32" s="27"/>
    </row>
    <row r="33">
      <c r="B33" s="131" t="s">
        <v>68</v>
      </c>
      <c r="C33" s="115"/>
      <c r="D33" s="116" t="s">
        <v>46</v>
      </c>
      <c r="E33" s="117"/>
      <c r="F33" s="118" t="s">
        <v>56</v>
      </c>
      <c r="G33" s="117"/>
      <c r="H33" s="118" t="s">
        <v>57</v>
      </c>
      <c r="I33" s="118"/>
      <c r="J33" s="119" t="s">
        <v>58</v>
      </c>
      <c r="K33" s="118"/>
      <c r="L33" s="119" t="s">
        <v>58</v>
      </c>
      <c r="M33" s="120"/>
      <c r="N33" s="121" t="s">
        <v>46</v>
      </c>
      <c r="O33" s="122"/>
      <c r="P33" s="121" t="s">
        <v>56</v>
      </c>
      <c r="Q33" s="122"/>
      <c r="R33" s="121" t="s">
        <v>57</v>
      </c>
      <c r="S33" s="115"/>
      <c r="T33" s="123" t="s">
        <v>58</v>
      </c>
      <c r="U33" s="124"/>
      <c r="V33" s="119" t="s">
        <v>58</v>
      </c>
      <c r="W33" s="120"/>
      <c r="X33" s="71"/>
      <c r="Z33" s="132" t="s">
        <v>68</v>
      </c>
      <c r="AA33" s="153">
        <v>4000.0</v>
      </c>
      <c r="AB33" s="148">
        <v>4000.0</v>
      </c>
      <c r="AC33" s="134">
        <f t="shared" si="8"/>
        <v>3821.43</v>
      </c>
      <c r="AD33" s="149">
        <v>3750.0</v>
      </c>
      <c r="AE33" s="134">
        <f t="shared" si="9"/>
        <v>3571.43</v>
      </c>
      <c r="AF33" s="149">
        <v>3500.0</v>
      </c>
      <c r="AG33" s="149">
        <f t="shared" si="10"/>
        <v>3321.43</v>
      </c>
      <c r="AH33" s="150">
        <v>3500.0</v>
      </c>
      <c r="AI33" s="149">
        <f t="shared" si="11"/>
        <v>3321.43</v>
      </c>
      <c r="AJ33" s="147">
        <v>3750.0</v>
      </c>
      <c r="AK33" s="150">
        <v>3000.0</v>
      </c>
      <c r="AL33" s="149">
        <v>2821.43</v>
      </c>
      <c r="AM33" s="150">
        <v>2813.0</v>
      </c>
      <c r="AN33" s="151">
        <v>2634.43</v>
      </c>
      <c r="AO33" s="149">
        <v>2625.0</v>
      </c>
      <c r="AP33" s="149">
        <v>2446.43</v>
      </c>
      <c r="AQ33" s="150">
        <v>2625.0</v>
      </c>
      <c r="AR33" s="152">
        <v>2446.43</v>
      </c>
      <c r="AS33" s="27"/>
      <c r="AT33" s="27"/>
      <c r="AU33" s="27"/>
      <c r="AV33" s="27"/>
      <c r="AW33" s="27"/>
    </row>
    <row r="34">
      <c r="B34" s="131" t="s">
        <v>69</v>
      </c>
      <c r="C34" s="115"/>
      <c r="D34" s="116" t="s">
        <v>46</v>
      </c>
      <c r="E34" s="117"/>
      <c r="F34" s="118" t="s">
        <v>56</v>
      </c>
      <c r="G34" s="117"/>
      <c r="H34" s="118" t="s">
        <v>57</v>
      </c>
      <c r="I34" s="118"/>
      <c r="J34" s="119" t="s">
        <v>58</v>
      </c>
      <c r="K34" s="118"/>
      <c r="L34" s="119" t="s">
        <v>58</v>
      </c>
      <c r="M34" s="120"/>
      <c r="N34" s="121" t="s">
        <v>46</v>
      </c>
      <c r="O34" s="122"/>
      <c r="P34" s="121" t="s">
        <v>56</v>
      </c>
      <c r="Q34" s="122"/>
      <c r="R34" s="121" t="s">
        <v>57</v>
      </c>
      <c r="S34" s="115"/>
      <c r="T34" s="123" t="s">
        <v>58</v>
      </c>
      <c r="U34" s="124"/>
      <c r="V34" s="119" t="s">
        <v>58</v>
      </c>
      <c r="W34" s="120"/>
      <c r="X34" s="71"/>
      <c r="Z34" s="132" t="s">
        <v>69</v>
      </c>
      <c r="AA34" s="126">
        <v>2000.0</v>
      </c>
      <c r="AB34" s="133">
        <v>2000.0</v>
      </c>
      <c r="AC34" s="134">
        <f t="shared" si="8"/>
        <v>1821.43</v>
      </c>
      <c r="AD34" s="135">
        <v>1875.0</v>
      </c>
      <c r="AE34" s="134">
        <f t="shared" si="9"/>
        <v>1696.43</v>
      </c>
      <c r="AF34" s="135">
        <v>1750.0</v>
      </c>
      <c r="AG34" s="149">
        <f t="shared" si="10"/>
        <v>1571.43</v>
      </c>
      <c r="AH34" s="133">
        <v>1750.0</v>
      </c>
      <c r="AI34" s="149">
        <f t="shared" si="11"/>
        <v>1571.43</v>
      </c>
      <c r="AJ34" s="126">
        <v>1875.0</v>
      </c>
      <c r="AK34" s="133">
        <v>1500.0</v>
      </c>
      <c r="AL34" s="135">
        <v>1321.43</v>
      </c>
      <c r="AM34" s="133">
        <v>1406.0</v>
      </c>
      <c r="AN34" s="134">
        <v>1227.43</v>
      </c>
      <c r="AO34" s="135">
        <v>1313.0</v>
      </c>
      <c r="AP34" s="135">
        <v>1134.43</v>
      </c>
      <c r="AQ34" s="133">
        <v>1313.0</v>
      </c>
      <c r="AR34" s="136">
        <v>1134.43</v>
      </c>
      <c r="AS34" s="27"/>
      <c r="AT34" s="27"/>
      <c r="AU34" s="27"/>
      <c r="AV34" s="27"/>
      <c r="AW34" s="27"/>
    </row>
    <row r="35">
      <c r="B35" s="131" t="s">
        <v>70</v>
      </c>
      <c r="C35" s="115"/>
      <c r="D35" s="116" t="s">
        <v>46</v>
      </c>
      <c r="E35" s="117"/>
      <c r="F35" s="118" t="s">
        <v>56</v>
      </c>
      <c r="G35" s="117"/>
      <c r="H35" s="118" t="s">
        <v>57</v>
      </c>
      <c r="I35" s="118"/>
      <c r="J35" s="119" t="s">
        <v>58</v>
      </c>
      <c r="K35" s="118"/>
      <c r="L35" s="119" t="s">
        <v>58</v>
      </c>
      <c r="M35" s="120"/>
      <c r="N35" s="121" t="s">
        <v>46</v>
      </c>
      <c r="O35" s="122"/>
      <c r="P35" s="121" t="s">
        <v>56</v>
      </c>
      <c r="Q35" s="122"/>
      <c r="R35" s="121" t="s">
        <v>57</v>
      </c>
      <c r="S35" s="115"/>
      <c r="T35" s="123" t="s">
        <v>58</v>
      </c>
      <c r="U35" s="124"/>
      <c r="V35" s="119" t="s">
        <v>58</v>
      </c>
      <c r="W35" s="120"/>
      <c r="X35" s="71"/>
      <c r="Z35" s="132" t="s">
        <v>70</v>
      </c>
      <c r="AA35" s="153">
        <v>4000.0</v>
      </c>
      <c r="AB35" s="148">
        <v>4000.0</v>
      </c>
      <c r="AC35" s="134">
        <f t="shared" si="8"/>
        <v>3821.43</v>
      </c>
      <c r="AD35" s="149">
        <v>3750.0</v>
      </c>
      <c r="AE35" s="134">
        <f t="shared" si="9"/>
        <v>3571.43</v>
      </c>
      <c r="AF35" s="149">
        <v>3500.0</v>
      </c>
      <c r="AG35" s="149">
        <f t="shared" si="10"/>
        <v>3321.43</v>
      </c>
      <c r="AH35" s="150">
        <v>3500.0</v>
      </c>
      <c r="AI35" s="149">
        <f t="shared" si="11"/>
        <v>3321.43</v>
      </c>
      <c r="AJ35" s="147">
        <v>3750.0</v>
      </c>
      <c r="AK35" s="150">
        <v>3000.0</v>
      </c>
      <c r="AL35" s="149">
        <v>2821.43</v>
      </c>
      <c r="AM35" s="150">
        <v>2813.0</v>
      </c>
      <c r="AN35" s="151">
        <v>2634.43</v>
      </c>
      <c r="AO35" s="149">
        <v>2625.0</v>
      </c>
      <c r="AP35" s="149">
        <v>2446.43</v>
      </c>
      <c r="AQ35" s="150">
        <v>2625.0</v>
      </c>
      <c r="AR35" s="152">
        <v>2446.43</v>
      </c>
      <c r="AS35" s="27"/>
      <c r="AT35" s="27"/>
      <c r="AU35" s="27"/>
      <c r="AV35" s="27"/>
      <c r="AW35" s="27"/>
    </row>
    <row r="36">
      <c r="B36" s="114" t="s">
        <v>71</v>
      </c>
      <c r="C36" s="115"/>
      <c r="D36" s="116" t="s">
        <v>46</v>
      </c>
      <c r="E36" s="117"/>
      <c r="F36" s="118" t="s">
        <v>56</v>
      </c>
      <c r="G36" s="117"/>
      <c r="H36" s="118" t="s">
        <v>57</v>
      </c>
      <c r="I36" s="118"/>
      <c r="J36" s="119" t="s">
        <v>58</v>
      </c>
      <c r="K36" s="118"/>
      <c r="L36" s="119" t="s">
        <v>58</v>
      </c>
      <c r="M36" s="120"/>
      <c r="N36" s="121" t="s">
        <v>46</v>
      </c>
      <c r="O36" s="122"/>
      <c r="P36" s="121" t="s">
        <v>56</v>
      </c>
      <c r="Q36" s="122"/>
      <c r="R36" s="121" t="s">
        <v>57</v>
      </c>
      <c r="S36" s="115"/>
      <c r="T36" s="123" t="s">
        <v>58</v>
      </c>
      <c r="U36" s="124"/>
      <c r="V36" s="119" t="s">
        <v>58</v>
      </c>
      <c r="W36" s="120"/>
      <c r="X36" s="71"/>
      <c r="Z36" s="125" t="s">
        <v>71</v>
      </c>
      <c r="AA36" s="126">
        <v>8750.0</v>
      </c>
      <c r="AB36" s="127">
        <v>7000.0</v>
      </c>
      <c r="AC36" s="128">
        <f t="shared" ref="AC36:AC37" si="12">AB36-714.29</f>
        <v>6285.71</v>
      </c>
      <c r="AD36" s="129">
        <v>6563.0</v>
      </c>
      <c r="AE36" s="128">
        <f t="shared" ref="AE36:AE37" si="13">AD36-714.29</f>
        <v>5848.71</v>
      </c>
      <c r="AF36" s="129">
        <v>6125.0</v>
      </c>
      <c r="AG36" s="129">
        <f t="shared" ref="AG36:AG37" si="14">AF36-714.29</f>
        <v>5410.71</v>
      </c>
      <c r="AH36" s="127">
        <v>6125.0</v>
      </c>
      <c r="AI36" s="129">
        <f t="shared" ref="AI36:AI37" si="15">AH36-714.29</f>
        <v>5410.71</v>
      </c>
      <c r="AJ36" s="126">
        <v>6875.0</v>
      </c>
      <c r="AK36" s="127">
        <v>5500.0</v>
      </c>
      <c r="AL36" s="129">
        <v>4785.71</v>
      </c>
      <c r="AM36" s="127">
        <v>5156.0</v>
      </c>
      <c r="AN36" s="128">
        <v>4441.71</v>
      </c>
      <c r="AO36" s="129">
        <v>4812.0</v>
      </c>
      <c r="AP36" s="129">
        <v>4097.71</v>
      </c>
      <c r="AQ36" s="127">
        <v>4812.0</v>
      </c>
      <c r="AR36" s="130">
        <v>4097.71</v>
      </c>
      <c r="AS36" s="27"/>
      <c r="AT36" s="27"/>
      <c r="AU36" s="27"/>
      <c r="AV36" s="27"/>
      <c r="AW36" s="27"/>
    </row>
    <row r="37">
      <c r="B37" s="154" t="s">
        <v>72</v>
      </c>
      <c r="C37" s="115"/>
      <c r="D37" s="116" t="s">
        <v>46</v>
      </c>
      <c r="E37" s="155"/>
      <c r="F37" s="118" t="s">
        <v>56</v>
      </c>
      <c r="G37" s="155"/>
      <c r="H37" s="118" t="s">
        <v>57</v>
      </c>
      <c r="I37" s="156"/>
      <c r="J37" s="119" t="s">
        <v>58</v>
      </c>
      <c r="K37" s="156"/>
      <c r="L37" s="119" t="s">
        <v>58</v>
      </c>
      <c r="M37" s="120"/>
      <c r="N37" s="121" t="s">
        <v>46</v>
      </c>
      <c r="O37" s="157"/>
      <c r="P37" s="121" t="s">
        <v>56</v>
      </c>
      <c r="Q37" s="158"/>
      <c r="R37" s="159" t="s">
        <v>57</v>
      </c>
      <c r="S37" s="158"/>
      <c r="T37" s="123" t="s">
        <v>58</v>
      </c>
      <c r="U37" s="160"/>
      <c r="V37" s="119" t="s">
        <v>58</v>
      </c>
      <c r="W37" s="120"/>
      <c r="X37" s="71"/>
      <c r="Z37" s="161" t="s">
        <v>72</v>
      </c>
      <c r="AA37" s="126">
        <v>17500.0</v>
      </c>
      <c r="AB37" s="133">
        <v>14000.0</v>
      </c>
      <c r="AC37" s="134">
        <f t="shared" si="12"/>
        <v>13285.71</v>
      </c>
      <c r="AD37" s="135">
        <v>13125.0</v>
      </c>
      <c r="AE37" s="134">
        <f t="shared" si="13"/>
        <v>12410.71</v>
      </c>
      <c r="AF37" s="135">
        <v>12250.0</v>
      </c>
      <c r="AG37" s="135">
        <f t="shared" si="14"/>
        <v>11535.71</v>
      </c>
      <c r="AH37" s="133">
        <v>12250.0</v>
      </c>
      <c r="AI37" s="135">
        <f t="shared" si="15"/>
        <v>11535.71</v>
      </c>
      <c r="AJ37" s="126">
        <v>13750.0</v>
      </c>
      <c r="AK37" s="133">
        <v>11000.0</v>
      </c>
      <c r="AL37" s="135">
        <v>10285.71</v>
      </c>
      <c r="AM37" s="133">
        <v>10313.0</v>
      </c>
      <c r="AN37" s="134">
        <v>9598.71</v>
      </c>
      <c r="AO37" s="135">
        <v>9625.0</v>
      </c>
      <c r="AP37" s="135">
        <v>8910.71</v>
      </c>
      <c r="AQ37" s="133">
        <v>9625.0</v>
      </c>
      <c r="AR37" s="136">
        <v>8910.71</v>
      </c>
      <c r="AS37" s="27"/>
      <c r="AT37" s="27"/>
      <c r="AU37" s="27"/>
      <c r="AV37" s="27"/>
      <c r="AW37" s="27"/>
    </row>
    <row r="38">
      <c r="B38" s="162" t="s">
        <v>73</v>
      </c>
      <c r="C38" s="115"/>
      <c r="D38" s="116" t="s">
        <v>46</v>
      </c>
      <c r="E38" s="155"/>
      <c r="F38" s="118" t="s">
        <v>56</v>
      </c>
      <c r="G38" s="155"/>
      <c r="H38" s="118" t="s">
        <v>57</v>
      </c>
      <c r="I38" s="156"/>
      <c r="J38" s="119" t="s">
        <v>58</v>
      </c>
      <c r="K38" s="156"/>
      <c r="L38" s="119" t="s">
        <v>58</v>
      </c>
      <c r="M38" s="120"/>
      <c r="N38" s="121" t="s">
        <v>46</v>
      </c>
      <c r="O38" s="157"/>
      <c r="P38" s="121" t="s">
        <v>56</v>
      </c>
      <c r="Q38" s="158"/>
      <c r="R38" s="159" t="s">
        <v>57</v>
      </c>
      <c r="S38" s="158"/>
      <c r="T38" s="159" t="s">
        <v>58</v>
      </c>
      <c r="U38" s="160"/>
      <c r="V38" s="119" t="s">
        <v>58</v>
      </c>
      <c r="W38" s="120"/>
      <c r="X38" s="71"/>
      <c r="Z38" s="163" t="s">
        <v>73</v>
      </c>
      <c r="AA38" s="126">
        <v>3750.0</v>
      </c>
      <c r="AB38" s="127">
        <v>3000.0</v>
      </c>
      <c r="AC38" s="128">
        <f t="shared" ref="AC38:AC39" si="16">AB38-357.14</f>
        <v>2642.86</v>
      </c>
      <c r="AD38" s="129">
        <v>2813.0</v>
      </c>
      <c r="AE38" s="128">
        <f t="shared" ref="AE38:AE39" si="17">AD38-357.14</f>
        <v>2455.86</v>
      </c>
      <c r="AF38" s="129">
        <v>2615.0</v>
      </c>
      <c r="AG38" s="129">
        <f t="shared" ref="AG38:AG39" si="18">AF38-357.14</f>
        <v>2257.86</v>
      </c>
      <c r="AH38" s="127">
        <v>2615.0</v>
      </c>
      <c r="AI38" s="129">
        <f t="shared" ref="AI38:AI39" si="19">AH38-357.14</f>
        <v>2257.86</v>
      </c>
      <c r="AJ38" s="126">
        <v>3125.0</v>
      </c>
      <c r="AK38" s="127">
        <v>2500.0</v>
      </c>
      <c r="AL38" s="129">
        <v>2142.86</v>
      </c>
      <c r="AM38" s="127">
        <v>2344.0</v>
      </c>
      <c r="AN38" s="128">
        <v>1986.86</v>
      </c>
      <c r="AO38" s="129">
        <v>2188.0</v>
      </c>
      <c r="AP38" s="129">
        <v>1830.86</v>
      </c>
      <c r="AQ38" s="127">
        <v>2188.0</v>
      </c>
      <c r="AR38" s="130">
        <v>1830.86</v>
      </c>
      <c r="AS38" s="27"/>
      <c r="AT38" s="27"/>
      <c r="AU38" s="27"/>
      <c r="AV38" s="27"/>
      <c r="AW38" s="27"/>
    </row>
    <row r="39">
      <c r="B39" s="154" t="s">
        <v>74</v>
      </c>
      <c r="C39" s="164"/>
      <c r="D39" s="116" t="s">
        <v>46</v>
      </c>
      <c r="E39" s="156"/>
      <c r="F39" s="165" t="s">
        <v>56</v>
      </c>
      <c r="G39" s="156"/>
      <c r="H39" s="165" t="s">
        <v>57</v>
      </c>
      <c r="I39" s="156"/>
      <c r="J39" s="165" t="s">
        <v>58</v>
      </c>
      <c r="K39" s="156"/>
      <c r="L39" s="165" t="s">
        <v>58</v>
      </c>
      <c r="M39" s="120"/>
      <c r="N39" s="121" t="s">
        <v>46</v>
      </c>
      <c r="O39" s="158"/>
      <c r="P39" s="159" t="s">
        <v>56</v>
      </c>
      <c r="Q39" s="158"/>
      <c r="R39" s="159" t="s">
        <v>57</v>
      </c>
      <c r="S39" s="158"/>
      <c r="T39" s="159" t="s">
        <v>58</v>
      </c>
      <c r="U39" s="160"/>
      <c r="V39" s="165" t="s">
        <v>58</v>
      </c>
      <c r="W39" s="120"/>
      <c r="X39" s="71"/>
      <c r="Z39" s="161" t="s">
        <v>74</v>
      </c>
      <c r="AA39" s="126">
        <v>7500.0</v>
      </c>
      <c r="AB39" s="133">
        <v>6000.0</v>
      </c>
      <c r="AC39" s="134">
        <f t="shared" si="16"/>
        <v>5642.86</v>
      </c>
      <c r="AD39" s="135">
        <v>5625.0</v>
      </c>
      <c r="AE39" s="134">
        <f t="shared" si="17"/>
        <v>5267.86</v>
      </c>
      <c r="AF39" s="135">
        <v>5250.0</v>
      </c>
      <c r="AG39" s="135">
        <f t="shared" si="18"/>
        <v>4892.86</v>
      </c>
      <c r="AH39" s="133">
        <v>5250.0</v>
      </c>
      <c r="AI39" s="135">
        <f t="shared" si="19"/>
        <v>4892.86</v>
      </c>
      <c r="AJ39" s="126">
        <v>6250.0</v>
      </c>
      <c r="AK39" s="133">
        <v>5000.0</v>
      </c>
      <c r="AL39" s="135">
        <v>4642.86</v>
      </c>
      <c r="AM39" s="133">
        <v>4688.0</v>
      </c>
      <c r="AN39" s="134">
        <v>4330.86</v>
      </c>
      <c r="AO39" s="135">
        <v>4375.0</v>
      </c>
      <c r="AP39" s="135">
        <v>4017.86</v>
      </c>
      <c r="AQ39" s="133">
        <v>4375.0</v>
      </c>
      <c r="AR39" s="136">
        <v>4017.86</v>
      </c>
      <c r="AS39" s="1"/>
      <c r="AT39" s="1"/>
      <c r="AU39" s="1"/>
      <c r="AV39" s="1"/>
      <c r="AW39" s="1"/>
    </row>
    <row r="40">
      <c r="B40" s="154" t="s">
        <v>75</v>
      </c>
      <c r="C40" s="164"/>
      <c r="D40" s="116" t="s">
        <v>46</v>
      </c>
      <c r="E40" s="156"/>
      <c r="F40" s="165" t="s">
        <v>56</v>
      </c>
      <c r="G40" s="156"/>
      <c r="H40" s="165" t="s">
        <v>57</v>
      </c>
      <c r="I40" s="156"/>
      <c r="J40" s="165" t="s">
        <v>58</v>
      </c>
      <c r="K40" s="156"/>
      <c r="L40" s="165" t="s">
        <v>58</v>
      </c>
      <c r="M40" s="120"/>
      <c r="N40" s="121" t="s">
        <v>46</v>
      </c>
      <c r="O40" s="158"/>
      <c r="P40" s="159" t="s">
        <v>56</v>
      </c>
      <c r="Q40" s="158"/>
      <c r="R40" s="159" t="s">
        <v>57</v>
      </c>
      <c r="S40" s="158"/>
      <c r="T40" s="159" t="s">
        <v>58</v>
      </c>
      <c r="U40" s="160"/>
      <c r="V40" s="165" t="s">
        <v>58</v>
      </c>
      <c r="W40" s="120"/>
      <c r="X40" s="71"/>
      <c r="Z40" s="161" t="s">
        <v>75</v>
      </c>
      <c r="AA40" s="147">
        <v>625.0</v>
      </c>
      <c r="AB40" s="150">
        <v>500.0</v>
      </c>
      <c r="AC40" s="151" t="s">
        <v>46</v>
      </c>
      <c r="AD40" s="149">
        <v>469.0</v>
      </c>
      <c r="AE40" s="166"/>
      <c r="AF40" s="149">
        <v>438.0</v>
      </c>
      <c r="AG40" s="167"/>
      <c r="AH40" s="150">
        <v>438.0</v>
      </c>
      <c r="AI40" s="167"/>
      <c r="AJ40" s="147">
        <v>625.0</v>
      </c>
      <c r="AK40" s="150">
        <v>500.0</v>
      </c>
      <c r="AL40" s="149" t="s">
        <v>46</v>
      </c>
      <c r="AM40" s="150">
        <v>469.0</v>
      </c>
      <c r="AN40" s="151" t="s">
        <v>46</v>
      </c>
      <c r="AO40" s="149">
        <v>438.0</v>
      </c>
      <c r="AP40" s="149" t="s">
        <v>46</v>
      </c>
      <c r="AQ40" s="150">
        <v>438.0</v>
      </c>
      <c r="AR40" s="152" t="s">
        <v>46</v>
      </c>
      <c r="AS40" s="1"/>
      <c r="AT40" s="1"/>
      <c r="AU40" s="1"/>
      <c r="AV40" s="1"/>
      <c r="AW40" s="1"/>
    </row>
    <row r="41">
      <c r="B41" s="154" t="s">
        <v>76</v>
      </c>
      <c r="C41" s="164"/>
      <c r="D41" s="116" t="s">
        <v>46</v>
      </c>
      <c r="E41" s="156"/>
      <c r="F41" s="165" t="s">
        <v>56</v>
      </c>
      <c r="G41" s="156"/>
      <c r="H41" s="165" t="s">
        <v>57</v>
      </c>
      <c r="I41" s="156"/>
      <c r="J41" s="165" t="s">
        <v>58</v>
      </c>
      <c r="K41" s="156"/>
      <c r="L41" s="165" t="s">
        <v>58</v>
      </c>
      <c r="M41" s="120"/>
      <c r="N41" s="121" t="s">
        <v>46</v>
      </c>
      <c r="O41" s="158"/>
      <c r="P41" s="159" t="s">
        <v>56</v>
      </c>
      <c r="Q41" s="158"/>
      <c r="R41" s="159" t="s">
        <v>57</v>
      </c>
      <c r="S41" s="158"/>
      <c r="T41" s="159" t="s">
        <v>58</v>
      </c>
      <c r="U41" s="160"/>
      <c r="V41" s="165" t="s">
        <v>58</v>
      </c>
      <c r="W41" s="120"/>
      <c r="X41" s="71"/>
      <c r="Z41" s="168"/>
      <c r="AA41" s="169"/>
      <c r="AB41" s="167"/>
      <c r="AC41" s="166"/>
      <c r="AD41" s="167"/>
      <c r="AE41" s="166"/>
      <c r="AF41" s="167"/>
      <c r="AG41" s="167"/>
      <c r="AH41" s="150"/>
      <c r="AI41" s="149"/>
      <c r="AJ41" s="170"/>
      <c r="AK41" s="149"/>
      <c r="AL41" s="166"/>
      <c r="AM41" s="149"/>
      <c r="AN41" s="166"/>
      <c r="AO41" s="149"/>
      <c r="AP41" s="167"/>
      <c r="AQ41" s="171"/>
      <c r="AR41" s="172"/>
      <c r="AS41" s="1"/>
      <c r="AT41" s="1"/>
      <c r="AU41" s="1"/>
      <c r="AV41" s="1"/>
      <c r="AW41" s="1"/>
    </row>
    <row r="42">
      <c r="B42" s="154" t="s">
        <v>77</v>
      </c>
      <c r="C42" s="164"/>
      <c r="D42" s="173" t="s">
        <v>46</v>
      </c>
      <c r="E42" s="174"/>
      <c r="F42" s="175" t="s">
        <v>56</v>
      </c>
      <c r="G42" s="174"/>
      <c r="H42" s="175" t="s">
        <v>57</v>
      </c>
      <c r="I42" s="174"/>
      <c r="J42" s="175" t="s">
        <v>58</v>
      </c>
      <c r="K42" s="174"/>
      <c r="L42" s="175" t="s">
        <v>58</v>
      </c>
      <c r="M42" s="176"/>
      <c r="N42" s="177" t="s">
        <v>46</v>
      </c>
      <c r="O42" s="178"/>
      <c r="P42" s="179" t="s">
        <v>56</v>
      </c>
      <c r="Q42" s="178"/>
      <c r="R42" s="179" t="s">
        <v>57</v>
      </c>
      <c r="S42" s="178"/>
      <c r="T42" s="179" t="s">
        <v>58</v>
      </c>
      <c r="U42" s="180"/>
      <c r="V42" s="175" t="s">
        <v>58</v>
      </c>
      <c r="W42" s="176"/>
      <c r="X42" s="71"/>
      <c r="Z42" s="181"/>
      <c r="AA42" s="182"/>
      <c r="AB42" s="183"/>
      <c r="AC42" s="184"/>
      <c r="AD42" s="183"/>
      <c r="AE42" s="184"/>
      <c r="AF42" s="183"/>
      <c r="AG42" s="183"/>
      <c r="AH42" s="185"/>
      <c r="AI42" s="186"/>
      <c r="AJ42" s="187"/>
      <c r="AK42" s="186"/>
      <c r="AL42" s="184"/>
      <c r="AM42" s="186"/>
      <c r="AN42" s="184"/>
      <c r="AO42" s="186"/>
      <c r="AP42" s="183"/>
      <c r="AQ42" s="188"/>
      <c r="AR42" s="189"/>
      <c r="AS42" s="1"/>
      <c r="AT42" s="1"/>
      <c r="AU42" s="1"/>
      <c r="AV42" s="1"/>
      <c r="AW42" s="1"/>
    </row>
    <row r="43">
      <c r="B43" s="190" t="s">
        <v>78</v>
      </c>
      <c r="C43" s="76"/>
      <c r="D43" s="191" t="s">
        <v>21</v>
      </c>
      <c r="E43" s="191"/>
      <c r="F43" s="192" t="s">
        <v>22</v>
      </c>
      <c r="G43" s="192"/>
      <c r="H43" s="192" t="s">
        <v>23</v>
      </c>
      <c r="I43" s="193"/>
      <c r="J43" s="193" t="s">
        <v>24</v>
      </c>
      <c r="K43" s="194"/>
      <c r="L43" s="195" t="s">
        <v>25</v>
      </c>
      <c r="M43" s="193"/>
      <c r="N43" s="191" t="s">
        <v>21</v>
      </c>
      <c r="O43" s="191"/>
      <c r="P43" s="192" t="s">
        <v>22</v>
      </c>
      <c r="Q43" s="192"/>
      <c r="R43" s="192" t="s">
        <v>23</v>
      </c>
      <c r="S43" s="193"/>
      <c r="T43" s="193" t="s">
        <v>24</v>
      </c>
      <c r="U43" s="193"/>
      <c r="V43" s="195" t="s">
        <v>25</v>
      </c>
      <c r="W43" s="193"/>
      <c r="X43" s="71"/>
      <c r="AS43" s="1"/>
      <c r="AT43" s="1"/>
      <c r="AU43" s="1"/>
      <c r="AV43" s="1"/>
      <c r="AW43" s="1"/>
    </row>
    <row r="44">
      <c r="B44" s="99" t="s">
        <v>79</v>
      </c>
      <c r="C44" s="196"/>
      <c r="D44" s="197">
        <v>0.0</v>
      </c>
      <c r="E44" s="197"/>
      <c r="F44" s="197">
        <v>5000.0</v>
      </c>
      <c r="G44" s="197"/>
      <c r="H44" s="197">
        <v>9000.0</v>
      </c>
      <c r="I44" s="197"/>
      <c r="J44" s="197">
        <v>17000.0</v>
      </c>
      <c r="K44" s="197"/>
      <c r="L44" s="197"/>
      <c r="M44" s="198">
        <v>20000.0</v>
      </c>
      <c r="N44" s="199">
        <v>0.0</v>
      </c>
      <c r="O44" s="199"/>
      <c r="P44" s="197">
        <v>5000.0</v>
      </c>
      <c r="Q44" s="197"/>
      <c r="R44" s="197">
        <v>9000.0</v>
      </c>
      <c r="S44" s="197"/>
      <c r="T44" s="197">
        <v>17000.0</v>
      </c>
      <c r="U44" s="197"/>
      <c r="V44" s="197"/>
      <c r="W44" s="198">
        <v>20000.0</v>
      </c>
      <c r="X44" s="71"/>
      <c r="AF44" s="200"/>
      <c r="AM44" s="201"/>
      <c r="AN44" s="20"/>
      <c r="AS44" s="1"/>
      <c r="AT44" s="1"/>
      <c r="AU44" s="1"/>
      <c r="AV44" s="1"/>
      <c r="AW44" s="1"/>
    </row>
    <row r="45">
      <c r="B45" s="99" t="s">
        <v>80</v>
      </c>
      <c r="C45" s="202"/>
      <c r="D45" s="45">
        <v>0.3</v>
      </c>
      <c r="E45" s="45"/>
      <c r="F45" s="45">
        <v>0.25</v>
      </c>
      <c r="G45" s="45"/>
      <c r="H45" s="45">
        <v>0.19</v>
      </c>
      <c r="I45" s="45"/>
      <c r="J45" s="45">
        <v>0.15</v>
      </c>
      <c r="K45" s="45"/>
      <c r="L45" s="45"/>
      <c r="M45" s="45"/>
      <c r="N45" s="45">
        <v>0.3</v>
      </c>
      <c r="O45" s="45"/>
      <c r="P45" s="45">
        <v>0.25</v>
      </c>
      <c r="Q45" s="45"/>
      <c r="R45" s="45">
        <v>0.19</v>
      </c>
      <c r="S45" s="45"/>
      <c r="T45" s="45">
        <v>0.15</v>
      </c>
      <c r="V45" s="202"/>
      <c r="X45" s="71"/>
      <c r="AF45" s="200"/>
      <c r="AS45" s="1"/>
      <c r="AT45" s="1"/>
      <c r="AU45" s="1"/>
      <c r="AV45" s="1"/>
      <c r="AW45" s="1"/>
    </row>
    <row r="46">
      <c r="B46" s="41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V46" s="82"/>
      <c r="X46" s="71"/>
      <c r="AS46" s="1"/>
      <c r="AT46" s="21"/>
      <c r="AU46" s="1"/>
      <c r="AV46" s="1"/>
      <c r="AW46" s="1"/>
    </row>
    <row r="47">
      <c r="B47" s="99" t="s">
        <v>81</v>
      </c>
      <c r="C47" s="82"/>
      <c r="D47" s="20">
        <f>D16+D17+D18</f>
        <v>4809.08</v>
      </c>
      <c r="E47" s="20"/>
      <c r="F47" s="20">
        <f>F16+F17+F18</f>
        <v>4987.65</v>
      </c>
      <c r="G47" s="20"/>
      <c r="H47" s="20">
        <f>H16+H17+H18</f>
        <v>8788.94</v>
      </c>
      <c r="I47" s="20"/>
      <c r="J47" s="20">
        <f>J16+J17+J18</f>
        <v>16149.31</v>
      </c>
      <c r="K47" s="20"/>
      <c r="L47" s="20"/>
      <c r="M47" s="20">
        <f>L16+L17+L18</f>
        <v>22081.11</v>
      </c>
      <c r="N47" s="20">
        <f>N16+N17+N18</f>
        <v>3248.15</v>
      </c>
      <c r="O47" s="20"/>
      <c r="P47" s="20">
        <f>P16+P17+P18</f>
        <v>3426.72</v>
      </c>
      <c r="Q47" s="20"/>
      <c r="R47" s="20">
        <f>R16+R17+R18</f>
        <v>6187.39</v>
      </c>
      <c r="S47" s="20"/>
      <c r="T47" s="20">
        <f>T16+T17+T18</f>
        <v>10946.21</v>
      </c>
      <c r="V47" s="27">
        <f>V17+V18+V16</f>
        <v>14073.18</v>
      </c>
      <c r="X47" s="71"/>
      <c r="Z47" s="203"/>
      <c r="AA47" s="203"/>
      <c r="AB47" s="203"/>
      <c r="AH47" s="203"/>
      <c r="AI47" s="203"/>
      <c r="AJ47" s="203"/>
      <c r="AK47" s="203"/>
      <c r="AS47" s="1"/>
      <c r="AT47" s="21"/>
      <c r="AU47" s="1"/>
      <c r="AV47" s="1"/>
      <c r="AW47" s="1"/>
    </row>
    <row r="48">
      <c r="B48" s="99" t="s">
        <v>82</v>
      </c>
      <c r="C48" s="196"/>
      <c r="D48" s="89">
        <f>D44-D47</f>
        <v>-4809.08</v>
      </c>
      <c r="E48" s="89"/>
      <c r="F48" s="89">
        <f>F44-F47</f>
        <v>12.35</v>
      </c>
      <c r="G48" s="89"/>
      <c r="H48" s="89">
        <f>H44-H47</f>
        <v>211.06</v>
      </c>
      <c r="I48" s="89"/>
      <c r="J48" s="89">
        <f>J44-J47</f>
        <v>850.69</v>
      </c>
      <c r="K48" s="89"/>
      <c r="L48" s="89"/>
      <c r="M48" s="89">
        <f t="shared" ref="M48:N48" si="20">M44-M47</f>
        <v>-2081.11</v>
      </c>
      <c r="N48" s="89">
        <f t="shared" si="20"/>
        <v>-3248.15</v>
      </c>
      <c r="O48" s="89"/>
      <c r="P48" s="89">
        <f>P44-P47</f>
        <v>1573.28</v>
      </c>
      <c r="Q48" s="89"/>
      <c r="R48" s="89">
        <f>R44-R47</f>
        <v>2812.61</v>
      </c>
      <c r="S48" s="89"/>
      <c r="T48" s="89">
        <f>T44-T47</f>
        <v>6053.79</v>
      </c>
      <c r="V48" s="89">
        <f>V44-V47</f>
        <v>-14073.18</v>
      </c>
      <c r="X48" s="71"/>
      <c r="AS48" s="1"/>
      <c r="AT48" s="21"/>
      <c r="AU48" s="1"/>
      <c r="AV48" s="1"/>
      <c r="AW48" s="1"/>
    </row>
    <row r="49">
      <c r="B49" s="99" t="s">
        <v>83</v>
      </c>
      <c r="C49" s="202"/>
      <c r="D49" s="204" t="s">
        <v>46</v>
      </c>
      <c r="E49" s="95"/>
      <c r="F49" s="95">
        <f>F48/F44</f>
        <v>0.00247</v>
      </c>
      <c r="G49" s="95"/>
      <c r="H49" s="95">
        <f>H48/H44</f>
        <v>0.02345111111</v>
      </c>
      <c r="I49" s="95"/>
      <c r="J49" s="95">
        <f>J48/J44</f>
        <v>0.05004058824</v>
      </c>
      <c r="K49" s="95"/>
      <c r="L49" s="95"/>
      <c r="M49" s="95">
        <f>M48/M44</f>
        <v>-0.1040555</v>
      </c>
      <c r="N49" s="95" t="str">
        <f>IF(N44=0,"-",N48/N44)</f>
        <v>-</v>
      </c>
      <c r="O49" s="95"/>
      <c r="P49" s="95">
        <f>P48/P44</f>
        <v>0.314656</v>
      </c>
      <c r="Q49" s="95"/>
      <c r="R49" s="95">
        <f>R48/R44</f>
        <v>0.3125122222</v>
      </c>
      <c r="S49" s="95"/>
      <c r="T49" s="95">
        <f>T48/T44</f>
        <v>0.3561052941</v>
      </c>
      <c r="V49" s="95" t="str">
        <f>V48/V44</f>
        <v>#DIV/0!</v>
      </c>
      <c r="X49" s="71"/>
      <c r="AS49" s="1"/>
      <c r="AT49" s="21"/>
      <c r="AU49" s="1"/>
      <c r="AV49" s="1"/>
      <c r="AW49" s="1"/>
    </row>
    <row r="50">
      <c r="B50" s="205"/>
      <c r="C50" s="206"/>
      <c r="D50" s="206"/>
      <c r="E50" s="206"/>
      <c r="F50" s="206"/>
      <c r="G50" s="206"/>
      <c r="H50" s="206"/>
      <c r="I50" s="206"/>
      <c r="J50" s="206"/>
      <c r="K50" s="206"/>
      <c r="L50" s="206"/>
      <c r="M50" s="206"/>
      <c r="N50" s="206"/>
      <c r="O50" s="206"/>
      <c r="P50" s="206"/>
      <c r="Q50" s="206"/>
      <c r="R50" s="206"/>
      <c r="S50" s="206"/>
      <c r="T50" s="206"/>
      <c r="U50" s="206"/>
      <c r="V50" s="206"/>
      <c r="W50" s="206"/>
      <c r="X50" s="207"/>
      <c r="AK50" s="208"/>
      <c r="AL50" s="11"/>
      <c r="AM50" s="208"/>
      <c r="AN50" s="11"/>
      <c r="AO50" s="208"/>
      <c r="AP50" s="11"/>
      <c r="AS50" s="10"/>
      <c r="AT50" s="10"/>
      <c r="AU50" s="10"/>
      <c r="AV50" s="10"/>
      <c r="AW50" s="10"/>
    </row>
    <row r="51">
      <c r="G51" s="209"/>
      <c r="J51" s="89"/>
      <c r="AL51" s="3"/>
      <c r="AN51" s="3"/>
      <c r="AP51" s="3"/>
      <c r="AS51" s="11"/>
      <c r="AT51" s="11"/>
    </row>
    <row r="52">
      <c r="G52" s="202"/>
      <c r="J52" s="89"/>
      <c r="Z52" s="210"/>
      <c r="AA52" s="211"/>
      <c r="AB52" s="212" t="s">
        <v>84</v>
      </c>
      <c r="AC52" s="213"/>
      <c r="AD52" s="213"/>
      <c r="AE52" s="214"/>
      <c r="AF52" s="215"/>
      <c r="AG52" s="212" t="s">
        <v>85</v>
      </c>
      <c r="AH52" s="213"/>
      <c r="AI52" s="213"/>
      <c r="AJ52" s="214"/>
      <c r="AS52" s="199"/>
      <c r="AT52" s="199"/>
    </row>
    <row r="53">
      <c r="G53" s="216"/>
      <c r="J53" s="89"/>
      <c r="Z53" s="217"/>
      <c r="AA53" s="218" t="s">
        <v>86</v>
      </c>
      <c r="AB53" s="219" t="s">
        <v>22</v>
      </c>
      <c r="AC53" s="220" t="s">
        <v>23</v>
      </c>
      <c r="AD53" s="221" t="s">
        <v>24</v>
      </c>
      <c r="AE53" s="222" t="s">
        <v>87</v>
      </c>
      <c r="AF53" s="223" t="s">
        <v>86</v>
      </c>
      <c r="AG53" s="219" t="s">
        <v>22</v>
      </c>
      <c r="AH53" s="220" t="s">
        <v>23</v>
      </c>
      <c r="AI53" s="221" t="s">
        <v>24</v>
      </c>
      <c r="AJ53" s="224" t="s">
        <v>87</v>
      </c>
      <c r="AS53" s="45"/>
      <c r="AT53" s="45"/>
    </row>
    <row r="54">
      <c r="G54" s="225"/>
      <c r="J54" s="89"/>
      <c r="Z54" s="226" t="s">
        <v>88</v>
      </c>
      <c r="AA54" s="227" t="s">
        <v>46</v>
      </c>
      <c r="AB54" s="228">
        <v>0.2</v>
      </c>
      <c r="AC54" s="228">
        <v>0.25</v>
      </c>
      <c r="AD54" s="228">
        <v>0.3</v>
      </c>
      <c r="AE54" s="229">
        <v>0.4</v>
      </c>
      <c r="AF54" s="230" t="s">
        <v>46</v>
      </c>
      <c r="AG54" s="228">
        <v>0.2</v>
      </c>
      <c r="AH54" s="228">
        <v>0.25</v>
      </c>
      <c r="AI54" s="228">
        <v>0.3</v>
      </c>
      <c r="AJ54" s="231">
        <v>0.4</v>
      </c>
      <c r="AS54" s="5"/>
      <c r="AT54" s="5"/>
    </row>
    <row r="55">
      <c r="B55" s="1"/>
      <c r="C55" s="1"/>
      <c r="D55" s="1"/>
      <c r="E55" s="1"/>
      <c r="J55" s="89"/>
      <c r="Z55" s="232" t="s">
        <v>89</v>
      </c>
      <c r="AA55" s="227">
        <v>18750.0</v>
      </c>
      <c r="AB55" s="233">
        <v>15000.0</v>
      </c>
      <c r="AC55" s="227">
        <v>14063.0</v>
      </c>
      <c r="AD55" s="227">
        <v>13125.0</v>
      </c>
      <c r="AE55" s="234">
        <v>11250.0</v>
      </c>
      <c r="AF55" s="230">
        <v>26250.0</v>
      </c>
      <c r="AG55" s="235">
        <v>21000.0</v>
      </c>
      <c r="AH55" s="236">
        <v>19688.0</v>
      </c>
      <c r="AI55" s="236">
        <v>18375.0</v>
      </c>
      <c r="AJ55" s="236">
        <v>15750.0</v>
      </c>
      <c r="AS55" s="20"/>
      <c r="AT55" s="20"/>
    </row>
    <row r="56">
      <c r="B56" s="237" t="s">
        <v>26</v>
      </c>
      <c r="C56" s="238" t="s">
        <v>5</v>
      </c>
      <c r="D56" s="239" t="s">
        <v>90</v>
      </c>
      <c r="E56" s="239" t="s">
        <v>91</v>
      </c>
      <c r="F56" s="240"/>
      <c r="J56" s="95"/>
      <c r="Z56" s="241" t="s">
        <v>92</v>
      </c>
      <c r="AA56" s="227">
        <v>37500.0</v>
      </c>
      <c r="AB56" s="227">
        <v>30000.0</v>
      </c>
      <c r="AC56" s="227">
        <v>28125.0</v>
      </c>
      <c r="AD56" s="227">
        <v>26250.0</v>
      </c>
      <c r="AE56" s="234">
        <v>22500.0</v>
      </c>
      <c r="AF56" s="230">
        <v>52500.0</v>
      </c>
      <c r="AG56" s="236">
        <v>42000.0</v>
      </c>
      <c r="AH56" s="236">
        <v>39375.0</v>
      </c>
      <c r="AI56" s="236">
        <v>36750.0</v>
      </c>
      <c r="AJ56" s="236">
        <v>31500.0</v>
      </c>
      <c r="AS56" s="89"/>
      <c r="AT56" s="89"/>
    </row>
    <row r="57">
      <c r="B57" s="242" t="s">
        <v>73</v>
      </c>
      <c r="C57" s="243" t="s">
        <v>93</v>
      </c>
      <c r="D57" s="244">
        <v>3000.0</v>
      </c>
      <c r="E57" s="245">
        <v>2500.0</v>
      </c>
      <c r="F57" s="246"/>
      <c r="J57" s="95"/>
      <c r="Z57" s="247" t="s">
        <v>60</v>
      </c>
      <c r="AA57" s="227">
        <v>16250.0</v>
      </c>
      <c r="AB57" s="233">
        <v>13000.0</v>
      </c>
      <c r="AC57" s="227">
        <v>12188.0</v>
      </c>
      <c r="AD57" s="227">
        <v>11375.0</v>
      </c>
      <c r="AE57" s="234">
        <v>9750.0</v>
      </c>
      <c r="AF57" s="230">
        <v>23750.0</v>
      </c>
      <c r="AG57" s="235">
        <v>19000.0</v>
      </c>
      <c r="AH57" s="236">
        <v>17813.0</v>
      </c>
      <c r="AI57" s="236">
        <v>16625.0</v>
      </c>
      <c r="AJ57" s="236">
        <v>14250.0</v>
      </c>
      <c r="AS57" s="95"/>
      <c r="AT57" s="202"/>
    </row>
    <row r="58">
      <c r="B58" s="248" t="s">
        <v>94</v>
      </c>
      <c r="C58" s="243" t="s">
        <v>93</v>
      </c>
      <c r="D58" s="249">
        <v>2500.0</v>
      </c>
      <c r="E58" s="245">
        <v>2500.0</v>
      </c>
      <c r="F58" s="246"/>
      <c r="J58" s="95"/>
      <c r="Z58" s="241" t="s">
        <v>61</v>
      </c>
      <c r="AA58" s="227">
        <v>32500.0</v>
      </c>
      <c r="AB58" s="227">
        <v>26000.0</v>
      </c>
      <c r="AC58" s="227">
        <v>24375.0</v>
      </c>
      <c r="AD58" s="227">
        <v>22750.0</v>
      </c>
      <c r="AE58" s="234">
        <v>19500.0</v>
      </c>
      <c r="AF58" s="230">
        <v>47500.0</v>
      </c>
      <c r="AG58" s="236">
        <v>38000.0</v>
      </c>
      <c r="AH58" s="236">
        <v>35625.0</v>
      </c>
      <c r="AI58" s="236">
        <v>33250.0</v>
      </c>
      <c r="AJ58" s="236">
        <v>28500.0</v>
      </c>
      <c r="AT58" s="5"/>
    </row>
    <row r="59">
      <c r="B59" s="242" t="s">
        <v>95</v>
      </c>
      <c r="C59" s="243" t="s">
        <v>96</v>
      </c>
      <c r="D59" s="244">
        <v>7000.0</v>
      </c>
      <c r="E59" s="245">
        <v>5500.0</v>
      </c>
      <c r="F59" s="250"/>
      <c r="Z59" s="247" t="s">
        <v>62</v>
      </c>
      <c r="AA59" s="227">
        <v>12500.0</v>
      </c>
      <c r="AB59" s="233">
        <v>10000.0</v>
      </c>
      <c r="AC59" s="227">
        <v>9375.0</v>
      </c>
      <c r="AD59" s="227">
        <v>8750.0</v>
      </c>
      <c r="AE59" s="234">
        <v>7500.0</v>
      </c>
      <c r="AF59" s="230">
        <v>20000.0</v>
      </c>
      <c r="AG59" s="235">
        <v>16000.0</v>
      </c>
      <c r="AH59" s="236">
        <v>15000.0</v>
      </c>
      <c r="AI59" s="236">
        <v>14000.0</v>
      </c>
      <c r="AJ59" s="236">
        <v>12000.0</v>
      </c>
      <c r="AK59" s="135"/>
      <c r="AL59" s="135"/>
      <c r="AM59" s="135"/>
      <c r="AN59" s="135"/>
      <c r="AO59" s="135"/>
      <c r="AP59" s="135"/>
      <c r="AT59" s="5"/>
    </row>
    <row r="60">
      <c r="B60" s="242" t="s">
        <v>45</v>
      </c>
      <c r="C60" s="243" t="s">
        <v>97</v>
      </c>
      <c r="D60" s="244">
        <v>2000.0</v>
      </c>
      <c r="E60" s="245">
        <v>1500.0</v>
      </c>
      <c r="F60" s="250"/>
      <c r="Z60" s="241" t="s">
        <v>63</v>
      </c>
      <c r="AA60" s="227">
        <v>25000.0</v>
      </c>
      <c r="AB60" s="227">
        <v>20000.0</v>
      </c>
      <c r="AC60" s="227">
        <v>18750.0</v>
      </c>
      <c r="AD60" s="227">
        <v>17500.0</v>
      </c>
      <c r="AE60" s="234">
        <v>15000.0</v>
      </c>
      <c r="AF60" s="230">
        <v>40000.0</v>
      </c>
      <c r="AG60" s="236">
        <v>32000.0</v>
      </c>
      <c r="AH60" s="236">
        <v>30000.0</v>
      </c>
      <c r="AI60" s="236">
        <v>28000.0</v>
      </c>
      <c r="AJ60" s="236">
        <v>24000.0</v>
      </c>
      <c r="AK60" s="135"/>
      <c r="AL60" s="135"/>
      <c r="AM60" s="135"/>
      <c r="AN60" s="135"/>
      <c r="AO60" s="135"/>
      <c r="AP60" s="135"/>
      <c r="AT60" s="5"/>
    </row>
    <row r="61">
      <c r="B61" s="242" t="s">
        <v>55</v>
      </c>
      <c r="C61" s="243" t="s">
        <v>98</v>
      </c>
      <c r="D61" s="249">
        <v>21000.0</v>
      </c>
      <c r="E61" s="245">
        <v>15000.0</v>
      </c>
      <c r="F61" s="250"/>
      <c r="Z61" s="247" t="s">
        <v>71</v>
      </c>
      <c r="AA61" s="227">
        <v>6875.0</v>
      </c>
      <c r="AB61" s="233">
        <v>5500.0</v>
      </c>
      <c r="AC61" s="227">
        <v>5156.0</v>
      </c>
      <c r="AD61" s="227">
        <v>4812.0</v>
      </c>
      <c r="AE61" s="234">
        <v>4125.0</v>
      </c>
      <c r="AF61" s="230">
        <v>8750.0</v>
      </c>
      <c r="AG61" s="235">
        <v>7000.0</v>
      </c>
      <c r="AH61" s="236">
        <v>6563.0</v>
      </c>
      <c r="AI61" s="236">
        <v>6125.0</v>
      </c>
      <c r="AJ61" s="236">
        <v>5250.0</v>
      </c>
      <c r="AK61" s="135"/>
      <c r="AL61" s="135"/>
      <c r="AM61" s="135"/>
      <c r="AN61" s="135"/>
      <c r="AO61" s="135"/>
      <c r="AP61" s="135"/>
      <c r="AT61" s="5"/>
    </row>
    <row r="62">
      <c r="B62" s="248" t="s">
        <v>60</v>
      </c>
      <c r="C62" s="251">
        <v>357.0</v>
      </c>
      <c r="D62" s="249">
        <v>19000.0</v>
      </c>
      <c r="E62" s="252">
        <v>13000.0</v>
      </c>
      <c r="F62" s="253"/>
      <c r="Z62" s="241" t="s">
        <v>72</v>
      </c>
      <c r="AA62" s="227">
        <v>13750.0</v>
      </c>
      <c r="AB62" s="227">
        <v>11000.0</v>
      </c>
      <c r="AC62" s="227">
        <v>10313.0</v>
      </c>
      <c r="AD62" s="227">
        <v>9625.0</v>
      </c>
      <c r="AE62" s="234">
        <v>8250.0</v>
      </c>
      <c r="AF62" s="230">
        <v>17500.0</v>
      </c>
      <c r="AG62" s="236">
        <v>14000.0</v>
      </c>
      <c r="AH62" s="236">
        <v>13125.0</v>
      </c>
      <c r="AI62" s="236">
        <v>12250.0</v>
      </c>
      <c r="AJ62" s="236">
        <v>10500.0</v>
      </c>
      <c r="AK62" s="149"/>
      <c r="AL62" s="149"/>
      <c r="AM62" s="149"/>
      <c r="AN62" s="149"/>
      <c r="AO62" s="149"/>
      <c r="AP62" s="149"/>
    </row>
    <row r="63">
      <c r="B63" s="248" t="s">
        <v>62</v>
      </c>
      <c r="C63" s="251">
        <v>357.0</v>
      </c>
      <c r="D63" s="249">
        <v>16000.0</v>
      </c>
      <c r="E63" s="252">
        <v>10000.0</v>
      </c>
      <c r="F63" s="253"/>
      <c r="Z63" s="247" t="s">
        <v>99</v>
      </c>
      <c r="AA63" s="227">
        <v>3125.0</v>
      </c>
      <c r="AB63" s="233">
        <v>2500.0</v>
      </c>
      <c r="AC63" s="227">
        <v>2344.0</v>
      </c>
      <c r="AD63" s="227">
        <v>2188.0</v>
      </c>
      <c r="AE63" s="234">
        <v>1875.0</v>
      </c>
      <c r="AF63" s="230">
        <v>3750.0</v>
      </c>
      <c r="AG63" s="236">
        <v>3000.0</v>
      </c>
      <c r="AH63" s="236">
        <v>2813.0</v>
      </c>
      <c r="AI63" s="236">
        <v>2625.0</v>
      </c>
      <c r="AJ63" s="236">
        <v>2250.0</v>
      </c>
      <c r="AK63" s="135"/>
      <c r="AL63" s="135"/>
      <c r="AM63" s="135"/>
      <c r="AN63" s="135"/>
      <c r="AO63" s="135"/>
      <c r="AP63" s="135"/>
    </row>
    <row r="64">
      <c r="B64" s="242" t="s">
        <v>100</v>
      </c>
      <c r="C64" s="254" t="s">
        <v>97</v>
      </c>
      <c r="D64" s="244">
        <v>4000.0</v>
      </c>
      <c r="E64" s="255"/>
      <c r="F64" s="253"/>
      <c r="Z64" s="241" t="s">
        <v>101</v>
      </c>
      <c r="AA64" s="227">
        <v>6250.0</v>
      </c>
      <c r="AB64" s="227">
        <v>5000.0</v>
      </c>
      <c r="AC64" s="227">
        <v>4688.0</v>
      </c>
      <c r="AD64" s="227">
        <v>4375.0</v>
      </c>
      <c r="AE64" s="234">
        <v>3750.0</v>
      </c>
      <c r="AF64" s="230">
        <v>7500.0</v>
      </c>
      <c r="AG64" s="236">
        <v>6000.0</v>
      </c>
      <c r="AH64" s="236">
        <v>5625.0</v>
      </c>
      <c r="AI64" s="236">
        <v>5250.0</v>
      </c>
      <c r="AJ64" s="236">
        <v>4500.0</v>
      </c>
      <c r="AK64" s="149"/>
      <c r="AL64" s="149"/>
      <c r="AM64" s="149"/>
      <c r="AN64" s="149"/>
      <c r="AO64" s="149"/>
      <c r="AP64" s="149"/>
    </row>
    <row r="65">
      <c r="B65" s="248" t="s">
        <v>75</v>
      </c>
      <c r="C65" s="256" t="s">
        <v>46</v>
      </c>
      <c r="D65" s="249">
        <v>1000.0</v>
      </c>
      <c r="E65" s="249">
        <v>500.0</v>
      </c>
      <c r="F65" s="253"/>
      <c r="Z65" s="247" t="s">
        <v>94</v>
      </c>
      <c r="AA65" s="227">
        <v>3125.0</v>
      </c>
      <c r="AB65" s="233">
        <v>2500.0</v>
      </c>
      <c r="AC65" s="227">
        <v>2344.0</v>
      </c>
      <c r="AD65" s="227">
        <v>2188.0</v>
      </c>
      <c r="AE65" s="234">
        <v>1875.0</v>
      </c>
      <c r="AF65" s="230">
        <v>3750.0</v>
      </c>
      <c r="AG65" s="236">
        <v>3000.0</v>
      </c>
      <c r="AH65" s="236">
        <v>2813.0</v>
      </c>
      <c r="AI65" s="236">
        <v>2625.0</v>
      </c>
      <c r="AJ65" s="236">
        <v>2250.0</v>
      </c>
      <c r="AK65" s="135"/>
      <c r="AL65" s="135"/>
      <c r="AM65" s="135"/>
      <c r="AN65" s="135"/>
      <c r="AO65" s="135"/>
      <c r="AP65" s="135"/>
    </row>
    <row r="66">
      <c r="B66" s="257" t="s">
        <v>41</v>
      </c>
      <c r="C66" s="258">
        <v>1250.0</v>
      </c>
      <c r="D66" s="249">
        <v>15000.0</v>
      </c>
      <c r="E66" s="258">
        <v>13000.0</v>
      </c>
      <c r="F66" s="246"/>
      <c r="Z66" s="241" t="s">
        <v>102</v>
      </c>
      <c r="AA66" s="227">
        <v>6250.0</v>
      </c>
      <c r="AB66" s="227">
        <v>5000.0</v>
      </c>
      <c r="AC66" s="227">
        <v>4688.0</v>
      </c>
      <c r="AD66" s="227">
        <v>4375.0</v>
      </c>
      <c r="AE66" s="234">
        <v>3750.0</v>
      </c>
      <c r="AF66" s="230">
        <v>7500.0</v>
      </c>
      <c r="AG66" s="236">
        <v>6000.0</v>
      </c>
      <c r="AH66" s="236">
        <v>5625.0</v>
      </c>
      <c r="AI66" s="236">
        <v>5250.0</v>
      </c>
      <c r="AJ66" s="236">
        <v>4500.0</v>
      </c>
      <c r="AK66" s="149"/>
      <c r="AL66" s="149"/>
      <c r="AM66" s="149"/>
      <c r="AN66" s="149"/>
      <c r="AO66" s="149"/>
      <c r="AP66" s="149"/>
    </row>
    <row r="67">
      <c r="B67" s="257" t="s">
        <v>103</v>
      </c>
      <c r="C67" s="258">
        <v>417.0</v>
      </c>
      <c r="D67" s="259"/>
      <c r="E67" s="259"/>
      <c r="F67" s="246"/>
      <c r="Z67" s="247" t="s">
        <v>104</v>
      </c>
      <c r="AA67" s="233">
        <v>1875.0</v>
      </c>
      <c r="AB67" s="233">
        <v>1500.0</v>
      </c>
      <c r="AC67" s="233">
        <v>1406.0</v>
      </c>
      <c r="AD67" s="233">
        <v>1313.0</v>
      </c>
      <c r="AE67" s="234">
        <v>1125.0</v>
      </c>
      <c r="AF67" s="260">
        <v>2500.0</v>
      </c>
      <c r="AG67" s="235">
        <v>2000.0</v>
      </c>
      <c r="AH67" s="236">
        <v>1875.0</v>
      </c>
      <c r="AI67" s="236">
        <v>1750.0</v>
      </c>
      <c r="AJ67" s="235">
        <v>1500.0</v>
      </c>
      <c r="AK67" s="135"/>
      <c r="AL67" s="135"/>
      <c r="AM67" s="135"/>
      <c r="AN67" s="135"/>
      <c r="AO67" s="135"/>
      <c r="AP67" s="135"/>
    </row>
    <row r="68">
      <c r="B68" s="257" t="s">
        <v>105</v>
      </c>
      <c r="C68" s="258">
        <v>417.0</v>
      </c>
      <c r="D68" s="259"/>
      <c r="E68" s="259"/>
      <c r="F68" s="246"/>
      <c r="Z68" s="241" t="s">
        <v>106</v>
      </c>
      <c r="AA68" s="227">
        <v>3750.0</v>
      </c>
      <c r="AB68" s="227">
        <v>3000.0</v>
      </c>
      <c r="AC68" s="227">
        <v>2813.0</v>
      </c>
      <c r="AD68" s="227">
        <v>2625.0</v>
      </c>
      <c r="AE68" s="234">
        <v>2250.0</v>
      </c>
      <c r="AF68" s="230">
        <v>5000.0</v>
      </c>
      <c r="AG68" s="236">
        <v>4000.0</v>
      </c>
      <c r="AH68" s="236">
        <v>3750.0</v>
      </c>
      <c r="AI68" s="236">
        <v>3500.0</v>
      </c>
      <c r="AJ68" s="236">
        <v>3000.0</v>
      </c>
      <c r="AK68" s="135"/>
      <c r="AL68" s="135"/>
      <c r="AM68" s="135"/>
      <c r="AN68" s="135"/>
      <c r="AO68" s="135"/>
      <c r="AP68" s="135"/>
    </row>
    <row r="69">
      <c r="B69" s="257" t="s">
        <v>107</v>
      </c>
      <c r="C69" s="258">
        <v>417.0</v>
      </c>
      <c r="D69" s="259"/>
      <c r="E69" s="259"/>
      <c r="F69" s="246"/>
      <c r="Z69" s="1"/>
      <c r="AA69" s="135"/>
      <c r="AB69" s="135"/>
      <c r="AC69" s="135"/>
      <c r="AD69" s="135"/>
      <c r="AE69" s="135"/>
      <c r="AF69" s="135"/>
      <c r="AG69" s="3"/>
      <c r="AH69" s="135"/>
      <c r="AI69" s="135"/>
      <c r="AJ69" s="135"/>
      <c r="AK69" s="135"/>
      <c r="AL69" s="135"/>
      <c r="AM69" s="135"/>
      <c r="AN69" s="135"/>
      <c r="AO69" s="135"/>
      <c r="AP69" s="135"/>
    </row>
    <row r="70">
      <c r="B70" s="257" t="s">
        <v>108</v>
      </c>
      <c r="C70" s="258" t="s">
        <v>109</v>
      </c>
      <c r="D70" s="259"/>
      <c r="E70" s="259"/>
      <c r="F70" s="246"/>
      <c r="Z70" s="23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/>
      <c r="AP70" s="135"/>
    </row>
    <row r="71">
      <c r="B71" s="257" t="s">
        <v>110</v>
      </c>
      <c r="C71" s="258" t="s">
        <v>111</v>
      </c>
      <c r="D71" s="259"/>
      <c r="E71" s="258" t="s">
        <v>112</v>
      </c>
      <c r="F71" s="246"/>
      <c r="K71" s="1"/>
      <c r="L71" s="20"/>
      <c r="M71" s="20"/>
      <c r="N71" s="20"/>
      <c r="O71" s="261"/>
      <c r="Z71" s="23"/>
      <c r="AA71" s="167"/>
      <c r="AB71" s="149"/>
      <c r="AC71" s="167"/>
      <c r="AD71" s="167"/>
      <c r="AE71" s="167"/>
      <c r="AF71" s="167"/>
      <c r="AG71" s="167"/>
      <c r="AH71" s="149"/>
      <c r="AI71" s="149"/>
      <c r="AJ71" s="149"/>
      <c r="AK71" s="149"/>
      <c r="AL71" s="167"/>
      <c r="AM71" s="149"/>
      <c r="AN71" s="167"/>
      <c r="AO71" s="149"/>
      <c r="AP71" s="167"/>
    </row>
    <row r="72">
      <c r="B72" s="262" t="s">
        <v>113</v>
      </c>
      <c r="C72" s="263">
        <v>179.0</v>
      </c>
      <c r="D72" s="264">
        <v>70000.0</v>
      </c>
      <c r="E72" s="265">
        <v>30000.0</v>
      </c>
      <c r="F72" s="266"/>
      <c r="Z72" s="23"/>
      <c r="AA72" s="167"/>
      <c r="AB72" s="167"/>
      <c r="AC72" s="167"/>
      <c r="AD72" s="167"/>
      <c r="AE72" s="167"/>
      <c r="AF72" s="167"/>
      <c r="AG72" s="167"/>
      <c r="AH72" s="149"/>
      <c r="AI72" s="149"/>
      <c r="AJ72" s="149"/>
      <c r="AK72" s="149"/>
      <c r="AL72" s="167"/>
      <c r="AM72" s="149"/>
      <c r="AN72" s="167"/>
      <c r="AO72" s="149"/>
      <c r="AP72" s="167"/>
    </row>
    <row r="73">
      <c r="B73" s="248" t="s">
        <v>114</v>
      </c>
      <c r="C73" s="264">
        <v>714.0</v>
      </c>
      <c r="D73" s="267"/>
      <c r="E73" s="267"/>
      <c r="F73" s="268"/>
      <c r="Z73" s="23"/>
      <c r="AA73" s="167"/>
      <c r="AB73" s="167"/>
      <c r="AC73" s="167"/>
      <c r="AD73" s="167"/>
      <c r="AE73" s="167"/>
      <c r="AF73" s="167"/>
      <c r="AG73" s="167"/>
      <c r="AH73" s="149"/>
      <c r="AI73" s="149"/>
      <c r="AJ73" s="149"/>
      <c r="AK73" s="149"/>
      <c r="AL73" s="167"/>
      <c r="AM73" s="149"/>
      <c r="AN73" s="167"/>
      <c r="AO73" s="149"/>
      <c r="AP73" s="167"/>
    </row>
    <row r="74">
      <c r="B74" s="248" t="s">
        <v>115</v>
      </c>
      <c r="C74" s="267"/>
      <c r="D74" s="267"/>
      <c r="E74" s="267"/>
      <c r="F74" s="268"/>
    </row>
    <row r="75">
      <c r="B75" s="269" t="s">
        <v>116</v>
      </c>
      <c r="C75" s="270"/>
      <c r="D75" s="270"/>
      <c r="E75" s="270"/>
      <c r="F75" s="271"/>
    </row>
    <row r="78">
      <c r="AK78" s="5"/>
    </row>
    <row r="79">
      <c r="AK79" s="5"/>
      <c r="AT79" s="272"/>
      <c r="AU79" s="273"/>
      <c r="AV79" s="273"/>
      <c r="AZ79" s="273"/>
      <c r="BA79" s="273"/>
    </row>
    <row r="80">
      <c r="AK80" s="5"/>
      <c r="AU80" s="200"/>
      <c r="AV80" s="274"/>
      <c r="AW80" s="274"/>
      <c r="AX80" s="274"/>
      <c r="AY80" s="274"/>
      <c r="AZ80" s="200"/>
      <c r="BA80" s="274"/>
      <c r="BB80" s="274"/>
      <c r="BC80" s="274"/>
      <c r="BD80" s="274"/>
    </row>
    <row r="81">
      <c r="AK81" s="5"/>
      <c r="AT81" s="275"/>
      <c r="AU81" s="200"/>
      <c r="AV81" s="276"/>
      <c r="AW81" s="276"/>
      <c r="AX81" s="276"/>
      <c r="AY81" s="276"/>
      <c r="AZ81" s="200"/>
      <c r="BA81" s="276"/>
      <c r="BB81" s="276"/>
      <c r="BC81" s="276"/>
      <c r="BD81" s="277"/>
      <c r="BE81" s="273"/>
    </row>
    <row r="82">
      <c r="AK82" s="5"/>
      <c r="AT82" s="278"/>
      <c r="AU82" s="200"/>
      <c r="AV82" s="274"/>
      <c r="AW82" s="200"/>
      <c r="AX82" s="200"/>
      <c r="AY82" s="200"/>
      <c r="AZ82" s="200"/>
      <c r="BA82" s="274"/>
      <c r="BB82" s="200"/>
      <c r="BC82" s="200"/>
      <c r="BD82" s="274"/>
      <c r="BE82" s="274"/>
    </row>
    <row r="83">
      <c r="AK83" s="5"/>
      <c r="AT83" s="279"/>
      <c r="AU83" s="200"/>
      <c r="AV83" s="200"/>
      <c r="AW83" s="200"/>
      <c r="AX83" s="200"/>
      <c r="AY83" s="200"/>
      <c r="AZ83" s="200"/>
      <c r="BA83" s="200"/>
      <c r="BB83" s="200"/>
      <c r="BC83" s="200"/>
      <c r="BD83" s="274"/>
      <c r="BE83" s="276"/>
    </row>
    <row r="84">
      <c r="G84" s="10"/>
      <c r="AK84" s="5"/>
      <c r="AT84" s="5"/>
      <c r="AU84" s="200"/>
      <c r="AV84" s="274"/>
      <c r="AW84" s="200"/>
      <c r="AX84" s="200"/>
      <c r="AY84" s="200"/>
      <c r="AZ84" s="200"/>
      <c r="BA84" s="274"/>
      <c r="BB84" s="200"/>
      <c r="BC84" s="200"/>
      <c r="BD84" s="274"/>
      <c r="BE84" s="200"/>
    </row>
    <row r="85">
      <c r="G85" s="10"/>
      <c r="AK85" s="5"/>
      <c r="AT85" s="279"/>
      <c r="AU85" s="200"/>
      <c r="AV85" s="200"/>
      <c r="AW85" s="200"/>
      <c r="AX85" s="200"/>
      <c r="AY85" s="200"/>
      <c r="AZ85" s="200"/>
      <c r="BA85" s="200"/>
      <c r="BB85" s="200"/>
      <c r="BC85" s="200"/>
      <c r="BD85" s="274"/>
      <c r="BE85" s="200"/>
    </row>
    <row r="86">
      <c r="G86" s="10"/>
      <c r="AK86" s="5"/>
      <c r="AT86" s="5"/>
      <c r="AU86" s="200"/>
      <c r="AV86" s="274"/>
      <c r="AW86" s="200"/>
      <c r="AX86" s="200"/>
      <c r="AY86" s="200"/>
      <c r="AZ86" s="200"/>
      <c r="BA86" s="274"/>
      <c r="BB86" s="200"/>
      <c r="BC86" s="200"/>
      <c r="BD86" s="274"/>
      <c r="BE86" s="200"/>
    </row>
    <row r="87">
      <c r="G87" s="10"/>
      <c r="AK87" s="5"/>
      <c r="AT87" s="279"/>
      <c r="AU87" s="200"/>
      <c r="AV87" s="200"/>
      <c r="AW87" s="200"/>
      <c r="AX87" s="200"/>
      <c r="AY87" s="200"/>
      <c r="AZ87" s="200"/>
      <c r="BA87" s="200"/>
      <c r="BB87" s="200"/>
      <c r="BC87" s="200"/>
      <c r="BD87" s="274"/>
      <c r="BE87" s="200"/>
    </row>
    <row r="88">
      <c r="G88" s="16"/>
      <c r="AK88" s="5"/>
      <c r="AT88" s="5"/>
      <c r="AU88" s="200"/>
      <c r="AV88" s="274"/>
      <c r="AW88" s="200"/>
      <c r="AX88" s="200"/>
      <c r="AY88" s="200"/>
      <c r="AZ88" s="200"/>
      <c r="BA88" s="274"/>
      <c r="BB88" s="200"/>
      <c r="BC88" s="200"/>
      <c r="BD88" s="274"/>
      <c r="BE88" s="200"/>
    </row>
    <row r="89">
      <c r="G89" s="16"/>
      <c r="AK89" s="5"/>
      <c r="AT89" s="279"/>
      <c r="AU89" s="200"/>
      <c r="AV89" s="200"/>
      <c r="AW89" s="200"/>
      <c r="AX89" s="200"/>
      <c r="AY89" s="200"/>
      <c r="AZ89" s="200"/>
      <c r="BA89" s="200"/>
      <c r="BB89" s="200"/>
      <c r="BC89" s="200"/>
      <c r="BD89" s="274"/>
      <c r="BE89" s="200"/>
    </row>
    <row r="90">
      <c r="G90" s="16"/>
      <c r="AK90" s="5"/>
      <c r="AT90" s="5"/>
      <c r="AU90" s="200"/>
      <c r="AV90" s="274"/>
      <c r="AW90" s="200"/>
      <c r="AX90" s="200"/>
      <c r="AY90" s="200"/>
      <c r="AZ90" s="200"/>
      <c r="BA90" s="200"/>
      <c r="BB90" s="200"/>
      <c r="BC90" s="200"/>
      <c r="BD90" s="274"/>
      <c r="BE90" s="200"/>
    </row>
    <row r="91">
      <c r="G91" s="16"/>
      <c r="AK91" s="5"/>
      <c r="AT91" s="279"/>
      <c r="AU91" s="200"/>
      <c r="AV91" s="200"/>
      <c r="AW91" s="200"/>
      <c r="AX91" s="200"/>
      <c r="AY91" s="200"/>
      <c r="AZ91" s="200"/>
      <c r="BA91" s="200"/>
      <c r="BB91" s="200"/>
      <c r="BC91" s="200"/>
      <c r="BD91" s="274"/>
      <c r="BE91" s="200"/>
    </row>
    <row r="92">
      <c r="B92" s="1"/>
      <c r="C92" s="2"/>
      <c r="D92" s="2"/>
      <c r="E92" s="2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AK92" s="5"/>
      <c r="AT92" s="5"/>
      <c r="AU92" s="200"/>
      <c r="AV92" s="274"/>
      <c r="AW92" s="200"/>
      <c r="AX92" s="200"/>
      <c r="AY92" s="200"/>
      <c r="AZ92" s="200"/>
      <c r="BA92" s="200"/>
      <c r="BB92" s="200"/>
      <c r="BC92" s="200"/>
      <c r="BD92" s="274"/>
      <c r="BE92" s="200"/>
    </row>
    <row r="93">
      <c r="B93" s="1"/>
      <c r="C93" s="2"/>
      <c r="D93" s="2"/>
      <c r="E93" s="2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AK93" s="5"/>
      <c r="AT93" s="279"/>
      <c r="AU93" s="200"/>
      <c r="AV93" s="200"/>
      <c r="AW93" s="200"/>
      <c r="AX93" s="200"/>
      <c r="AY93" s="200"/>
      <c r="AZ93" s="200"/>
      <c r="BA93" s="200"/>
      <c r="BB93" s="200"/>
      <c r="BC93" s="200"/>
      <c r="BD93" s="274"/>
      <c r="BE93" s="200"/>
    </row>
    <row r="94">
      <c r="B94" s="1"/>
      <c r="C94" s="2"/>
      <c r="D94" s="2"/>
      <c r="E94" s="2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AK94" s="5"/>
      <c r="AT94" s="5"/>
      <c r="AU94" s="274"/>
      <c r="AV94" s="274"/>
      <c r="AW94" s="274"/>
      <c r="AX94" s="274"/>
      <c r="AY94" s="200"/>
      <c r="AZ94" s="274"/>
      <c r="BA94" s="274"/>
      <c r="BB94" s="200"/>
      <c r="BC94" s="200"/>
      <c r="BD94" s="274"/>
      <c r="BE94" s="200"/>
    </row>
    <row r="95">
      <c r="B95" s="23"/>
      <c r="C95" s="2"/>
      <c r="D95" s="2"/>
      <c r="E95" s="2"/>
      <c r="F95" s="2"/>
      <c r="G95" s="4"/>
      <c r="H95" s="5"/>
      <c r="I95" s="5"/>
      <c r="J95" s="280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1"/>
      <c r="AA95" s="1"/>
      <c r="AT95" s="279"/>
      <c r="AU95" s="200"/>
      <c r="AV95" s="200"/>
      <c r="AW95" s="200"/>
      <c r="AX95" s="200"/>
      <c r="AY95" s="200"/>
      <c r="AZ95" s="200"/>
      <c r="BA95" s="200"/>
      <c r="BB95" s="200"/>
      <c r="BC95" s="200"/>
      <c r="BD95" s="274"/>
      <c r="BE95" s="200"/>
    </row>
    <row r="96">
      <c r="B96" s="1"/>
      <c r="C96" s="2"/>
      <c r="D96" s="2"/>
      <c r="E96" s="2"/>
      <c r="F96" s="2"/>
      <c r="G96" s="11"/>
      <c r="H96" s="82"/>
      <c r="I96" s="5"/>
      <c r="J96" s="281"/>
      <c r="P96" s="281"/>
      <c r="Q96" s="281"/>
      <c r="Z96" s="1"/>
      <c r="AA96" s="1"/>
      <c r="AZ96" s="274"/>
      <c r="BA96" s="274"/>
      <c r="BB96" s="274"/>
      <c r="BC96" s="274"/>
      <c r="BD96" s="274"/>
      <c r="BE96" s="274"/>
    </row>
    <row r="97">
      <c r="B97" s="1"/>
      <c r="C97" s="2"/>
      <c r="D97" s="2"/>
      <c r="E97" s="2"/>
      <c r="F97" s="2"/>
      <c r="G97" s="16"/>
      <c r="H97" s="5"/>
      <c r="I97" s="5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Z97" s="200"/>
      <c r="BA97" s="200"/>
      <c r="BB97" s="200"/>
      <c r="BC97" s="200"/>
      <c r="BD97" s="200"/>
      <c r="BE97" s="200"/>
    </row>
    <row r="98">
      <c r="B98" s="1"/>
      <c r="C98" s="1"/>
      <c r="D98" s="1"/>
      <c r="E98" s="1"/>
      <c r="F98" s="1"/>
      <c r="G98" s="10"/>
      <c r="H98" s="21"/>
      <c r="I98" s="82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>
      <c r="B99" s="1"/>
      <c r="C99" s="1"/>
      <c r="D99" s="1"/>
      <c r="E99" s="1"/>
      <c r="F99" s="1"/>
      <c r="G99" s="10"/>
      <c r="H99" s="21"/>
      <c r="I99" s="82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>
      <c r="B100" s="1"/>
      <c r="C100" s="1"/>
      <c r="D100" s="1"/>
      <c r="E100" s="1"/>
      <c r="F100" s="1"/>
      <c r="G100" s="16"/>
      <c r="H100" s="21"/>
      <c r="I100" s="82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</row>
    <row r="101">
      <c r="B101" s="11"/>
      <c r="C101" s="11"/>
      <c r="D101" s="11"/>
      <c r="E101" s="11"/>
      <c r="F101" s="11"/>
      <c r="G101" s="11"/>
      <c r="H101" s="1"/>
      <c r="I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F102" s="199"/>
      <c r="G102" s="35"/>
      <c r="H102" s="1"/>
      <c r="I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B103" s="9"/>
      <c r="C103" s="1"/>
      <c r="D103" s="1"/>
      <c r="E103" s="1"/>
      <c r="G103" s="45"/>
      <c r="H103" s="1"/>
      <c r="I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B104" s="1"/>
      <c r="C104" s="282"/>
      <c r="D104" s="27"/>
      <c r="E104" s="23"/>
      <c r="G104" s="1"/>
      <c r="H104" s="23"/>
      <c r="I104" s="5"/>
      <c r="J104" s="23"/>
      <c r="K104" s="1"/>
      <c r="L104" s="1"/>
      <c r="M104" s="1"/>
      <c r="N104" s="1"/>
      <c r="O104" s="1"/>
      <c r="P104" s="23"/>
      <c r="Q104" s="23"/>
      <c r="R104" s="1"/>
      <c r="S104" s="1"/>
      <c r="T104" s="1"/>
      <c r="U104" s="1"/>
      <c r="V104" s="1"/>
      <c r="W104" s="1"/>
      <c r="X104" s="1"/>
      <c r="Y104" s="1"/>
    </row>
    <row r="105">
      <c r="B105" s="1"/>
      <c r="C105" s="282"/>
      <c r="D105" s="27"/>
      <c r="E105" s="23"/>
      <c r="G105" s="89"/>
      <c r="H105" s="21"/>
      <c r="I105" s="82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>
      <c r="B106" s="1"/>
      <c r="C106" s="282"/>
      <c r="D106" s="27"/>
      <c r="E106" s="23"/>
      <c r="G106" s="89"/>
      <c r="H106" s="16"/>
      <c r="I106" s="82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AB106" s="3"/>
      <c r="AC106" s="3"/>
      <c r="AN106" s="16"/>
      <c r="AO106" s="16"/>
    </row>
    <row r="107">
      <c r="B107" s="1"/>
      <c r="C107" s="282"/>
      <c r="D107" s="27"/>
      <c r="E107" s="23"/>
      <c r="G107" s="89"/>
      <c r="H107" s="16"/>
      <c r="I107" s="82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AB107" s="3"/>
      <c r="AC107" s="3"/>
      <c r="AN107" s="16"/>
      <c r="AO107" s="16"/>
    </row>
    <row r="108">
      <c r="B108" s="1"/>
      <c r="C108" s="282"/>
      <c r="D108" s="27"/>
      <c r="E108" s="23"/>
      <c r="G108" s="89"/>
      <c r="H108" s="16"/>
      <c r="I108" s="82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AB108" s="3"/>
      <c r="AC108" s="3"/>
      <c r="AN108" s="16"/>
      <c r="AO108" s="16"/>
    </row>
    <row r="109">
      <c r="B109" s="1"/>
      <c r="C109" s="1"/>
      <c r="D109" s="284"/>
      <c r="E109" s="1"/>
      <c r="G109" s="89"/>
      <c r="H109" s="16"/>
      <c r="I109" s="82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AB109" s="3"/>
      <c r="AC109" s="3"/>
      <c r="AG109" s="3"/>
      <c r="AH109" s="3"/>
      <c r="AI109" s="3"/>
      <c r="AJ109" s="3"/>
      <c r="AK109" s="3"/>
      <c r="AN109" s="16"/>
      <c r="AO109" s="16"/>
    </row>
    <row r="110">
      <c r="B110" s="1"/>
      <c r="C110" s="282"/>
      <c r="D110" s="27"/>
      <c r="E110" s="1"/>
      <c r="G110" s="95"/>
      <c r="H110" s="16"/>
      <c r="I110" s="82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AB110" s="3"/>
      <c r="AC110" s="3"/>
      <c r="AG110" s="3"/>
      <c r="AH110" s="3"/>
      <c r="AI110" s="3"/>
      <c r="AJ110" s="3"/>
      <c r="AK110" s="3"/>
      <c r="AN110" s="16"/>
      <c r="AO110" s="16"/>
    </row>
    <row r="111">
      <c r="B111" s="1"/>
      <c r="C111" s="282"/>
      <c r="D111" s="27"/>
      <c r="E111" s="1"/>
      <c r="G111" s="95"/>
      <c r="H111" s="21"/>
      <c r="I111" s="82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AB111" s="3"/>
      <c r="AC111" s="3"/>
      <c r="AG111" s="3"/>
      <c r="AH111" s="3"/>
      <c r="AI111" s="3"/>
      <c r="AJ111" s="3"/>
      <c r="AK111" s="3"/>
      <c r="AN111" s="21"/>
      <c r="AO111" s="21"/>
    </row>
    <row r="112">
      <c r="B112" s="1"/>
      <c r="C112" s="285"/>
      <c r="D112" s="285"/>
      <c r="E112" s="1"/>
      <c r="G112" s="95"/>
      <c r="H112" s="1"/>
      <c r="I112" s="82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AB112" s="3"/>
      <c r="AC112" s="3"/>
      <c r="AG112" s="3"/>
      <c r="AH112" s="3"/>
      <c r="AI112" s="3"/>
      <c r="AJ112" s="3"/>
      <c r="AK112" s="3"/>
      <c r="AN112" s="1"/>
      <c r="AO112" s="1"/>
    </row>
    <row r="113">
      <c r="B113" s="1"/>
      <c r="C113" s="285"/>
      <c r="D113" s="285"/>
      <c r="E113" s="1"/>
      <c r="H113" s="23"/>
      <c r="I113" s="3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N113" s="23"/>
      <c r="AO113" s="23"/>
    </row>
    <row r="114">
      <c r="B114" s="1"/>
      <c r="C114" s="285"/>
      <c r="D114" s="285"/>
      <c r="E114" s="1"/>
      <c r="H114" s="11"/>
      <c r="I114" s="5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H115" s="1"/>
      <c r="I115" s="196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</row>
    <row r="116">
      <c r="H116" s="1"/>
      <c r="I116" s="202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</row>
    <row r="117"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H118" s="1"/>
      <c r="I118" s="82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>
      <c r="H119" s="1"/>
      <c r="I119" s="196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</row>
    <row r="120">
      <c r="H120" s="1"/>
      <c r="I120" s="202"/>
      <c r="J120" s="204"/>
      <c r="K120" s="95"/>
      <c r="L120" s="95"/>
      <c r="M120" s="95"/>
      <c r="N120" s="95"/>
      <c r="O120" s="95"/>
      <c r="P120" s="286"/>
      <c r="Q120" s="286"/>
      <c r="R120" s="95"/>
      <c r="S120" s="95"/>
      <c r="T120" s="95"/>
      <c r="U120" s="95"/>
      <c r="V120" s="95"/>
      <c r="W120" s="95"/>
      <c r="X120" s="95"/>
      <c r="Y120" s="95"/>
    </row>
    <row r="126">
      <c r="AB126" s="20"/>
      <c r="AC126" s="20"/>
    </row>
    <row r="133">
      <c r="D133" s="5"/>
      <c r="E133" s="5"/>
      <c r="F133" s="5"/>
      <c r="G133" s="5"/>
      <c r="H133" s="287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F134" s="82"/>
      <c r="G134" s="5"/>
      <c r="H134" s="281"/>
      <c r="L134" s="281"/>
      <c r="M134" s="281"/>
      <c r="N134" s="281"/>
    </row>
    <row r="135">
      <c r="D135" s="5"/>
      <c r="E135" s="5"/>
      <c r="F135" s="5"/>
      <c r="G135" s="5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>
      <c r="D136" s="82"/>
      <c r="E136" s="82"/>
      <c r="F136" s="21"/>
      <c r="G136" s="82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</row>
    <row r="137">
      <c r="D137" s="82"/>
      <c r="E137" s="82"/>
      <c r="F137" s="21"/>
      <c r="G137" s="8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>
      <c r="D138" s="82"/>
      <c r="E138" s="82"/>
    </row>
    <row r="139">
      <c r="D139" s="82"/>
      <c r="E139" s="82"/>
    </row>
    <row r="140">
      <c r="D140" s="82"/>
      <c r="E140" s="82"/>
    </row>
    <row r="141">
      <c r="D141" s="82"/>
      <c r="E141" s="82"/>
    </row>
    <row r="142">
      <c r="D142" s="82"/>
      <c r="E142" s="82"/>
    </row>
    <row r="143">
      <c r="D143" s="82"/>
      <c r="E143" s="82"/>
    </row>
    <row r="144">
      <c r="D144" s="82"/>
      <c r="E144" s="82"/>
    </row>
    <row r="145">
      <c r="D145" s="82"/>
      <c r="E145" s="82"/>
    </row>
    <row r="146">
      <c r="D146" s="82"/>
      <c r="E146" s="82"/>
    </row>
    <row r="147">
      <c r="D147" s="82"/>
      <c r="E147" s="82"/>
    </row>
    <row r="148">
      <c r="D148" s="5"/>
      <c r="E148" s="5"/>
    </row>
    <row r="149">
      <c r="D149" s="196"/>
      <c r="E149" s="196"/>
    </row>
    <row r="150">
      <c r="D150" s="202"/>
      <c r="E150" s="202"/>
    </row>
    <row r="151">
      <c r="D151" s="5"/>
      <c r="E151" s="5"/>
    </row>
    <row r="152">
      <c r="D152" s="82"/>
      <c r="E152" s="82"/>
    </row>
    <row r="153">
      <c r="D153" s="196"/>
      <c r="E153" s="196"/>
    </row>
    <row r="154">
      <c r="D154" s="202"/>
      <c r="E154" s="202"/>
    </row>
    <row r="156">
      <c r="AN156" s="16"/>
      <c r="AO156" s="16"/>
    </row>
    <row r="157">
      <c r="AN157" s="16"/>
      <c r="AO157" s="16"/>
    </row>
    <row r="158">
      <c r="AN158" s="16"/>
      <c r="AO158" s="16"/>
    </row>
    <row r="159">
      <c r="AN159" s="16"/>
      <c r="AO159" s="16"/>
    </row>
    <row r="160">
      <c r="AN160" s="16"/>
      <c r="AO160" s="16"/>
    </row>
    <row r="161">
      <c r="AN161" s="16"/>
      <c r="AO161" s="16"/>
    </row>
    <row r="162">
      <c r="AN162" s="21"/>
      <c r="AO162" s="21"/>
    </row>
    <row r="163">
      <c r="AN163" s="1"/>
      <c r="AO163" s="1"/>
    </row>
    <row r="164">
      <c r="AN164" s="23"/>
      <c r="AO164" s="23"/>
    </row>
  </sheetData>
  <mergeCells count="12">
    <mergeCell ref="AT79:AT80"/>
    <mergeCell ref="J96:O96"/>
    <mergeCell ref="Q96:Y96"/>
    <mergeCell ref="H134:K134"/>
    <mergeCell ref="N134:S134"/>
    <mergeCell ref="D14:J14"/>
    <mergeCell ref="N14:T14"/>
    <mergeCell ref="Z52:Z53"/>
    <mergeCell ref="AB52:AE52"/>
    <mergeCell ref="AG52:AJ52"/>
    <mergeCell ref="AV79:AY79"/>
    <mergeCell ref="BA79:BD79"/>
  </mergeCells>
  <drawing r:id="rId1"/>
</worksheet>
</file>